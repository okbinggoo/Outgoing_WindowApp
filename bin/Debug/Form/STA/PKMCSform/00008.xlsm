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\STA\PKMCSform\"/>
    </mc:Choice>
  </mc:AlternateContent>
  <xr:revisionPtr revIDLastSave="0" documentId="13_ncr:1_{49208EA6-F62D-4848-BD25-8403FB77242E}" xr6:coauthVersionLast="47" xr6:coauthVersionMax="47" xr10:uidLastSave="{00000000-0000-0000-0000-000000000000}"/>
  <bookViews>
    <workbookView xWindow="-110" yWindow="-110" windowWidth="19420" windowHeight="10420" tabRatio="791" activeTab="2" xr2:uid="{00000000-000D-0000-FFFF-FFFF00000000}"/>
  </bookViews>
  <sheets>
    <sheet name="Data" sheetId="31" r:id="rId1"/>
    <sheet name="Table-ANSI" sheetId="80" r:id="rId2"/>
    <sheet name="FORM" sheetId="105" r:id="rId3"/>
    <sheet name="FromTextFile" sheetId="34" r:id="rId4"/>
    <sheet name="FROMConfig" sheetId="88" r:id="rId5"/>
    <sheet name="FromAS400" sheetId="64" r:id="rId6"/>
    <sheet name="FromTextFileCtrl" sheetId="104" r:id="rId7"/>
  </sheets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xlnm._FilterDatabase" localSheetId="2" hidden="1">FORM!#REF!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8" i="105" l="1"/>
  <c r="U37" i="105"/>
  <c r="U36" i="105"/>
  <c r="U35" i="105"/>
  <c r="U34" i="105"/>
  <c r="U33" i="105"/>
  <c r="U32" i="105"/>
  <c r="U31" i="105"/>
  <c r="U30" i="105"/>
  <c r="U29" i="105"/>
  <c r="U28" i="105"/>
  <c r="U27" i="105"/>
  <c r="U26" i="105"/>
  <c r="U25" i="105"/>
  <c r="U24" i="105"/>
  <c r="U23" i="105"/>
  <c r="U22" i="105"/>
  <c r="U21" i="105"/>
  <c r="U20" i="105"/>
  <c r="U19" i="105"/>
  <c r="L15" i="105"/>
  <c r="J15" i="105"/>
  <c r="L14" i="105"/>
  <c r="J14" i="105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<sst xmlns="http://schemas.openxmlformats.org/spreadsheetml/2006/main" count="928" uniqueCount="512">
  <si>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</si>
  <si>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</si>
  <si>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</si>
  <si>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</si>
  <si>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</si>
  <si>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</si>
  <si>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</si>
  <si>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</si>
  <si>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</si>
  <si>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</si>
  <si>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</si>
  <si>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</si>
  <si>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</si>
  <si>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</si>
  <si>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</si>
  <si>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</si>
  <si>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</si>
  <si>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</si>
  <si>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</si>
  <si>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</si>
  <si>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</si>
  <si>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</si>
  <si>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</si>
  <si>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</si>
  <si>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</si>
  <si>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</si>
  <si>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</si>
  <si>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</si>
  <si>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</si>
  <si>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</si>
  <si>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</si>
  <si>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</si>
  <si>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</si>
  <si>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</si>
  <si>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</si>
  <si>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</si>
  <si>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</si>
  <si>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</si>
  <si>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</si>
  <si>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</si>
  <si>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</si>
  <si>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</si>
  <si>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</si>
  <si>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</si>
  <si>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</si>
  <si>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</si>
  <si>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</si>
  <si>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</si>
  <si>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</si>
  <si>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</si>
  <si>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</si>
  <si>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</si>
  <si>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Customer Part</t>
  </si>
  <si>
    <t>ProductSpec</t>
  </si>
  <si>
    <t>PackingSpec</t>
  </si>
  <si>
    <t>SampleSize</t>
  </si>
  <si>
    <t>#41#</t>
  </si>
  <si>
    <t>#51#</t>
  </si>
  <si>
    <t>#42#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</si>
  <si>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</si>
  <si>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</si>
  <si>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</si>
  <si>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</si>
  <si>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</si>
  <si>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</si>
  <si>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</si>
  <si>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</si>
  <si>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</si>
  <si>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Murata Electronics (Thailand), Ltd.</t>
  </si>
  <si>
    <t>OUTGOING INSPECTION DATA SHEET OF BUZZER PRODUCT</t>
  </si>
  <si>
    <t>Murata part name</t>
  </si>
  <si>
    <t>Inspection date (วันที่ตรวจสอบ)</t>
  </si>
  <si>
    <t>Customer Part name</t>
  </si>
  <si>
    <t>Temperature (อุณหภูมิ), Hummidity (ความชื้น)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</si>
  <si>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</si>
  <si>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%RH</t>
  </si>
  <si>
    <t>Lot size (จำนวนงาน)</t>
  </si>
  <si>
    <t xml:space="preserve">            Pcs (ชิ้น)</t>
  </si>
  <si>
    <t>Product spec no.</t>
  </si>
  <si>
    <t>Lot no. (หมายเลขล๊อท)</t>
  </si>
  <si>
    <t>Packing spec no.</t>
  </si>
  <si>
    <t>Inspection item</t>
  </si>
  <si>
    <t>Sampling q'ty</t>
  </si>
  <si>
    <t>Inspection no(หมายเลขการตรวจสอบ)</t>
  </si>
  <si>
    <t>Total Judgment (ผลการตัดสินรวม)</t>
  </si>
  <si>
    <t>1.Packing check result (การบรรจุภัณฑ์)</t>
  </si>
  <si>
    <t>2.Apperance Inspection result (ผลการตรวจสอบลักษณะภายนอก)</t>
  </si>
  <si>
    <t xml:space="preserve">3.Harmonic Test </t>
  </si>
  <si>
    <t xml:space="preserve">4.Knocking Test </t>
  </si>
  <si>
    <t>5.Electrical Charcteristic &amp; Dimension (คุณสมบัติทางไฟฟ้าและทางกายภาพ)</t>
  </si>
  <si>
    <t>Spec</t>
  </si>
  <si>
    <t>Instrument</t>
  </si>
  <si>
    <t>n.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</si>
  <si>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</si>
  <si>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</si>
  <si>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</si>
  <si>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</si>
  <si>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</si>
  <si>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</si>
  <si>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</si>
  <si>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</si>
  <si>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</si>
  <si>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</si>
  <si>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(หัวข้อการตรวจสอบ)</t>
  </si>
  <si>
    <t>(เครื่องมือวัด)</t>
  </si>
  <si>
    <t>(ตัดสิน)</t>
  </si>
  <si>
    <t>Packing Photo (รูปแบบการบรรจุภัณฑ์)</t>
  </si>
  <si>
    <t>Fixture dimension (รูปทางกายภาพ)</t>
  </si>
  <si>
    <t>App.item (หัวข้อการตรวจสอบภายนอก</t>
  </si>
  <si>
    <t>Intrument meaning (ความหมายเครื่องมือวัด)</t>
  </si>
  <si>
    <t>1.Bent (โก่งงอ)</t>
  </si>
  <si>
    <t>SM = Sound Level Meter</t>
  </si>
  <si>
    <t>2.Chipped (บิ่น)</t>
  </si>
  <si>
    <t>C = C-D meter or LCR meter</t>
  </si>
  <si>
    <t>3.Cracked (รอยร้าวแตก)</t>
  </si>
  <si>
    <t>G = Impedance /Gain-Phase analyzer</t>
  </si>
  <si>
    <t>4.Dirty (คราบสกปรก)</t>
  </si>
  <si>
    <t>HM = High Resistance Meter</t>
  </si>
  <si>
    <t>5.Dislocation (เซรามิคเคลื่อน)</t>
  </si>
  <si>
    <t>M = Multimeter</t>
  </si>
  <si>
    <t>6.Gap,Run out  (กาวน้อย กาวมาก)</t>
  </si>
  <si>
    <t>FC = Frequency Counter</t>
  </si>
  <si>
    <t>7.Mixing Model (รุ่นอื่นปน)</t>
  </si>
  <si>
    <t>OS = Ocilloscpoe</t>
  </si>
  <si>
    <t>8.Marking unclear (ประทับตราไม่ชัดเจน)</t>
  </si>
  <si>
    <t>DN = Vernier Caliper</t>
  </si>
  <si>
    <t>9.Marking mistake (ประทับตราผิด)</t>
  </si>
  <si>
    <t>DI = Digimatic indicator</t>
  </si>
  <si>
    <t>10. No marking (ไม่ประทับตรา)</t>
  </si>
  <si>
    <t>MM = Micro Meter</t>
  </si>
  <si>
    <t>11.No Dipping (ไม่จุ่มตะกั่วหรือลีดฟรี)</t>
  </si>
  <si>
    <t>R = Ruler</t>
  </si>
  <si>
    <t>12.No soldering (ไม่ได้บัดกรี)</t>
  </si>
  <si>
    <t>S = Scale Lope</t>
  </si>
  <si>
    <t>13.Scratched (รอยขีดข่วน)</t>
  </si>
  <si>
    <t>K = Measuring Micro Scope</t>
  </si>
  <si>
    <t>14.Other (อื่นๆ)</t>
  </si>
  <si>
    <t>H = Surface Texture</t>
  </si>
  <si>
    <t>PP = Push Pull Gate</t>
  </si>
  <si>
    <t>#4#</t>
  </si>
  <si>
    <t>#6#</t>
  </si>
  <si>
    <t>#13#</t>
  </si>
  <si>
    <t>#14#</t>
  </si>
  <si>
    <t>G</t>
  </si>
  <si>
    <t>#61#</t>
  </si>
  <si>
    <t>#62#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</si>
  <si>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</si>
  <si>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</si>
  <si>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</si>
  <si>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</si>
  <si>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</si>
  <si>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</si>
  <si>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</si>
  <si>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</si>
  <si>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</si>
  <si>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</si>
  <si>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#81#</t>
  </si>
  <si>
    <t>#82#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</si>
  <si>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</si>
  <si>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</si>
  <si>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</si>
  <si>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</si>
  <si>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</si>
  <si>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</si>
  <si>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</si>
  <si>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</si>
  <si>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</si>
  <si>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</si>
  <si>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#101#</t>
  </si>
  <si>
    <t>#102#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</si>
  <si>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</si>
  <si>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</si>
  <si>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</si>
  <si>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</si>
  <si>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</si>
  <si>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</si>
  <si>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</si>
  <si>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</si>
  <si>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</si>
  <si>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</si>
  <si>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#121#</t>
  </si>
  <si>
    <t>#122#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</si>
  <si>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</si>
  <si>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</si>
  <si>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</si>
  <si>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</si>
  <si>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</si>
  <si>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</si>
  <si>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</si>
  <si>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</si>
  <si>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</si>
  <si>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#141#</t>
  </si>
  <si>
    <t>#142#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</si>
  <si>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</si>
  <si>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</si>
  <si>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</si>
  <si>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</si>
  <si>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</si>
  <si>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</si>
  <si>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</si>
  <si>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</si>
  <si>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</si>
  <si>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#161#</t>
  </si>
  <si>
    <t>#162#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</si>
  <si>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</si>
  <si>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</si>
  <si>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</si>
  <si>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</si>
  <si>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</si>
  <si>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</si>
  <si>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</si>
  <si>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</si>
  <si>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</si>
  <si>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#181#</t>
  </si>
  <si>
    <t>#182#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</si>
  <si>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</si>
  <si>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</si>
  <si>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</si>
  <si>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</si>
  <si>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</si>
  <si>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</si>
  <si>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</si>
  <si>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</si>
  <si>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</si>
  <si>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#201#</t>
  </si>
  <si>
    <t>#202#</t>
  </si>
  <si>
    <t>#211#</t>
  </si>
  <si>
    <t>#212#</t>
  </si>
  <si>
    <t>#213#</t>
  </si>
  <si>
    <t>#214#</t>
  </si>
  <si>
    <t>#215#</t>
  </si>
  <si>
    <t>#216#</t>
  </si>
  <si>
    <t>#217#</t>
  </si>
  <si>
    <t>#218#</t>
  </si>
  <si>
    <t>#219#</t>
  </si>
  <si>
    <t>#221#</t>
  </si>
  <si>
    <t>#222#</t>
  </si>
  <si>
    <t>N</t>
  </si>
  <si>
    <t>Free Allocate 6</t>
  </si>
  <si>
    <t>Free Allocate 7</t>
  </si>
  <si>
    <t>Free Allocate 8</t>
  </si>
  <si>
    <t>Free Allocate 9</t>
  </si>
  <si>
    <t>#231#</t>
  </si>
  <si>
    <t>#232#</t>
  </si>
  <si>
    <t>#233#</t>
  </si>
  <si>
    <t>#234#</t>
  </si>
  <si>
    <t>#235#</t>
  </si>
  <si>
    <t>#236#</t>
  </si>
  <si>
    <t>#237#</t>
  </si>
  <si>
    <t>#238#</t>
  </si>
  <si>
    <t>#239#</t>
  </si>
  <si>
    <t>#251#</t>
  </si>
  <si>
    <t>#252#</t>
  </si>
  <si>
    <t>#253#</t>
  </si>
  <si>
    <t>#254#</t>
  </si>
  <si>
    <t>#240#</t>
  </si>
  <si>
    <t>#255#</t>
  </si>
  <si>
    <t>#256#</t>
  </si>
  <si>
    <t>#257#</t>
  </si>
  <si>
    <t>#258#</t>
  </si>
  <si>
    <t>#259#</t>
  </si>
  <si>
    <t>#260#</t>
  </si>
  <si>
    <t>#271#</t>
  </si>
  <si>
    <t>#272#</t>
  </si>
  <si>
    <t>#273#</t>
  </si>
  <si>
    <t>#274#</t>
  </si>
  <si>
    <t>#275#</t>
  </si>
  <si>
    <t>#276#</t>
  </si>
  <si>
    <t>#277#</t>
  </si>
  <si>
    <t>#278#</t>
  </si>
  <si>
    <t>#279#</t>
  </si>
  <si>
    <t>#280#</t>
  </si>
  <si>
    <t>#291#</t>
  </si>
  <si>
    <t>#292#</t>
  </si>
  <si>
    <t>#293#</t>
  </si>
  <si>
    <t>#294#</t>
  </si>
  <si>
    <t>#295#</t>
  </si>
  <si>
    <t>#296#</t>
  </si>
  <si>
    <t>#297#</t>
  </si>
  <si>
    <t>#298#</t>
  </si>
  <si>
    <t>#299#</t>
  </si>
  <si>
    <t>#300#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</si>
  <si>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</si>
  <si>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</si>
  <si>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</si>
  <si>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</si>
  <si>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</si>
  <si>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</si>
  <si>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</si>
  <si>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</si>
  <si>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</si>
  <si>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</si>
  <si>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</si>
  <si>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</si>
  <si>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</si>
  <si>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</si>
  <si>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</si>
  <si>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</si>
  <si>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</si>
  <si>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</si>
  <si>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</si>
  <si>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</si>
  <si>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#351#</t>
  </si>
  <si>
    <t>#352#</t>
  </si>
  <si>
    <t>#353#</t>
  </si>
  <si>
    <t>#354#</t>
  </si>
  <si>
    <t>#355#</t>
  </si>
  <si>
    <t>#356#</t>
  </si>
  <si>
    <t>#357#</t>
  </si>
  <si>
    <t>#358#</t>
  </si>
  <si>
    <t>#359#</t>
  </si>
  <si>
    <t>#360#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</si>
  <si>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</si>
  <si>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</si>
  <si>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</si>
  <si>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</si>
  <si>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</si>
  <si>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</si>
  <si>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</si>
  <si>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</si>
  <si>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</si>
  <si>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</si>
  <si>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</si>
  <si>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</si>
  <si>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</si>
  <si>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</si>
  <si>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</si>
  <si>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</si>
  <si>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</si>
  <si>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</si>
  <si>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</si>
  <si>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</si>
  <si>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</si>
  <si>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</si>
  <si>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</si>
  <si>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</si>
  <si>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</si>
  <si>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</si>
  <si>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</si>
  <si>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</si>
  <si>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</si>
  <si>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</si>
  <si>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#241#</t>
  </si>
  <si>
    <t>#261#</t>
  </si>
  <si>
    <t>#281#</t>
  </si>
  <si>
    <t>#301#</t>
  </si>
  <si>
    <t>#321#</t>
  </si>
  <si>
    <t>#341#</t>
  </si>
  <si>
    <t>#361#</t>
  </si>
  <si>
    <t>#381#</t>
  </si>
  <si>
    <t>#401#</t>
  </si>
  <si>
    <t>#421#</t>
  </si>
  <si>
    <t>#242#</t>
  </si>
  <si>
    <t>#262#</t>
  </si>
  <si>
    <t>#282#</t>
  </si>
  <si>
    <t>#302#</t>
  </si>
  <si>
    <t>#322#</t>
  </si>
  <si>
    <t>#342#</t>
  </si>
  <si>
    <t>#362#</t>
  </si>
  <si>
    <t>#382#</t>
  </si>
  <si>
    <t>#402#</t>
  </si>
  <si>
    <t>#422#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</si>
  <si>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</si>
  <si>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</si>
  <si>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</si>
  <si>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</si>
  <si>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</si>
  <si>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</si>
  <si>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</si>
  <si>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</si>
  <si>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</si>
  <si>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</si>
  <si>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</si>
  <si>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</si>
  <si>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</si>
  <si>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</si>
  <si>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</si>
  <si>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</si>
  <si>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</si>
  <si>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</si>
  <si>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</si>
  <si>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</si>
  <si>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#140#</t>
  </si>
  <si>
    <t>#160#</t>
  </si>
  <si>
    <t>#180#</t>
  </si>
  <si>
    <t>#200#</t>
  </si>
  <si>
    <t>#220#</t>
  </si>
  <si>
    <t>#43#</t>
  </si>
  <si>
    <t>#63#</t>
  </si>
  <si>
    <t>#83#</t>
  </si>
  <si>
    <t>#103#</t>
  </si>
  <si>
    <t>#123#</t>
  </si>
  <si>
    <t>#143#</t>
  </si>
  <si>
    <t>#163#</t>
  </si>
  <si>
    <t>#183#</t>
  </si>
  <si>
    <t>#203#</t>
  </si>
  <si>
    <t>#223#</t>
  </si>
  <si>
    <t>#243#</t>
  </si>
  <si>
    <t>#263#</t>
  </si>
  <si>
    <t>#283#</t>
  </si>
  <si>
    <t>#303#</t>
  </si>
  <si>
    <t>#323#</t>
  </si>
  <si>
    <t>#343#</t>
  </si>
  <si>
    <t>#363#</t>
  </si>
  <si>
    <t>#383#</t>
  </si>
  <si>
    <t>#403#</t>
  </si>
  <si>
    <t>#423#</t>
  </si>
  <si>
    <t>PackingCode</t>
  </si>
  <si>
    <t>#436#</t>
  </si>
  <si>
    <t>#437#</t>
  </si>
  <si>
    <t>#438#</t>
  </si>
  <si>
    <t>#439#</t>
  </si>
  <si>
    <t>#440#</t>
  </si>
  <si>
    <t>#431#</t>
  </si>
  <si>
    <t>#432#</t>
  </si>
  <si>
    <t>#433#</t>
  </si>
  <si>
    <t>#434#</t>
  </si>
  <si>
    <t>#435#</t>
  </si>
  <si>
    <t>#441#</t>
  </si>
  <si>
    <t>#442#</t>
  </si>
  <si>
    <t>#443#</t>
  </si>
  <si>
    <t>#444#</t>
  </si>
  <si>
    <t>#445#</t>
  </si>
  <si>
    <t>#446#</t>
  </si>
  <si>
    <t>#447#</t>
  </si>
  <si>
    <t xml:space="preserve"> </t>
  </si>
  <si>
    <t>QC/Mgr</t>
  </si>
  <si>
    <t>QC/Spv</t>
  </si>
  <si>
    <t>QC/Staff</t>
  </si>
  <si>
    <t>Approved</t>
  </si>
  <si>
    <t>Checked</t>
  </si>
  <si>
    <t>Issued</t>
  </si>
  <si>
    <t>#44#</t>
  </si>
  <si>
    <t>#64#</t>
  </si>
  <si>
    <t>#84#</t>
  </si>
  <si>
    <t>#104#</t>
  </si>
  <si>
    <t>#124#</t>
  </si>
  <si>
    <t>#144#</t>
  </si>
  <si>
    <t>#164#</t>
  </si>
  <si>
    <t>#184#</t>
  </si>
  <si>
    <t>#204#</t>
  </si>
  <si>
    <t>#224#</t>
  </si>
  <si>
    <t>#244#</t>
  </si>
  <si>
    <t>#264#</t>
  </si>
  <si>
    <t>#284#</t>
  </si>
  <si>
    <t>#304#</t>
  </si>
  <si>
    <t>#324#</t>
  </si>
  <si>
    <t>#344#</t>
  </si>
  <si>
    <t>#364#</t>
  </si>
  <si>
    <t>#384#</t>
  </si>
  <si>
    <t>#404#</t>
  </si>
  <si>
    <t>#424#</t>
  </si>
  <si>
    <t>Judge (ตัดสิน)</t>
  </si>
  <si>
    <t>Judge</t>
  </si>
  <si>
    <t>\\163.50.57.103\wwwroot$\A0029\PackingImages\</t>
  </si>
  <si>
    <t>\\163.50.57.103\wwwroot$\A0029\dimension\</t>
  </si>
  <si>
    <t>\\163.50.57.20\pcapl$\OutgoingSTD\SpecialData\B20\SpecialData.xlsx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</si>
  <si>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</si>
  <si>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</si>
  <si>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</si>
  <si>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</si>
  <si>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</si>
  <si>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</si>
  <si>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</si>
  <si>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</si>
  <si>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LCLW009LG_B20205255S825063TU2830029;MCS/VISSSD;1;20220902;N820Q21;VPJ3AF-14B074-AA;S825063;X1;PKMCS1818E20A0-R1;X3</t>
  </si>
  <si>
    <t>MCS/VISSSD</t>
  </si>
  <si>
    <t>;2223945400;001;R2860;VPJ3AF-14B074-AA;500;228BZ1731;TU2830029;PKMCS1818E20A0-R1;1000;2022/08/29;26;54;KEGB01-KS-002C;KGB16D-002;[1];||99.70;100.50;100.20;100.20;100.50;100;100.20;100.20;100.40;99.80;32;SPL;95.0(dB)min;SM;1256.44;1208.31;1061.34;1139.20;1113.03;1078.77;1093.88;1110.98;1066.35;1394.42;10;IR;100(MOhm)min;HM;17.9290;17.8780;17.8730;17.8710;17.8750;17.8750;17.8630;17.8750;17.9180;17.8790;10;DimensionA;17.8-18.2mm;K;18.0380;18.0670;18.0510;18.0030;18.0460;18.0490;18.0480;18.0680;18.0510;18.0080;10;DimensionB;17.8-18.2mm;K;7.8740;7.8590;7.8470;7.8380;7.84;7.83;7.8440;7.8790;7.8520;7.8540;10;DimensionC;8.0max;DI;0.8630;0.8790;0.87;0.8860;0.8890;0.8730;0.8720;0.8880;0.8750;0.8830;10;DimensionD;0.75-1.15mm;K;6.4160;6.50;6.3750;6.3960;6.4150;6.3620;6.3960;6.4870;6.38;6.3940;10;DimensionE1;6.2-6.6mm;K;6.3970;6.38;6.4610;6.3980;6.3640;6.3840;6.3820;6.3770;6.3820;6.3830;10;DimensionE2;6.2-6.6mm;K;0.98;0.9840;0.9940;0.99;0.9760;0.9870;0.9950;0.9840;1.0030;0.9830;10;DimensionF1;0.8-1.2mm;K;1.0230;1.0040;1.0080;1.0060;1.0130;1.0020;1.0050;1.0050;0.9930;0.9970;10;DimensionF2;0.8-1.2mm;K;15.9270;15.8890;15.8710;15.8750;15.8850;15.8860;15.8630;15.8860;15.9220;15.8990;10;DimensionG;15.8-16.2mm;K;2.6990;2.68;2.6840;2.6360;2.6710;2.6870;2.6940;2.6830;2.6690;2.6750;10;DimensionH;2.5-2.9mm;K;|จำนวนงาน/1 ม้วน;จำนวนงาน/ 1กล่อง;จำนวนงานทั้งหมด;;;250;2;500;;;G;80;G;;;;;|</t>
  </si>
  <si>
    <t>2223945400</t>
  </si>
  <si>
    <t>001</t>
  </si>
  <si>
    <t>R2860</t>
  </si>
  <si>
    <t>VPJ3AF-14B074-AA</t>
  </si>
  <si>
    <t>500</t>
  </si>
  <si>
    <t>228BZ1731</t>
  </si>
  <si>
    <t>TU2830029</t>
  </si>
  <si>
    <t>PKMCS1818E20A0-R1</t>
  </si>
  <si>
    <t>1000</t>
  </si>
  <si>
    <t>29-Aug-2022</t>
  </si>
  <si>
    <t>26</t>
  </si>
  <si>
    <t>54</t>
  </si>
  <si>
    <t>KEGB01-KS-002C</t>
  </si>
  <si>
    <t>KGB16D-002</t>
  </si>
  <si>
    <t>[1]</t>
  </si>
  <si>
    <t/>
  </si>
  <si>
    <t>SPL</t>
  </si>
  <si>
    <t>95.0(dB)min</t>
  </si>
  <si>
    <t>SM</t>
  </si>
  <si>
    <t>IR</t>
  </si>
  <si>
    <t>100(MOhm)min</t>
  </si>
  <si>
    <t>HM</t>
  </si>
  <si>
    <t>DimensionA</t>
  </si>
  <si>
    <t>17.8-18.2mm</t>
  </si>
  <si>
    <t>K</t>
  </si>
  <si>
    <t>DimensionB</t>
  </si>
  <si>
    <t>DimensionC</t>
  </si>
  <si>
    <t>8.0max</t>
  </si>
  <si>
    <t>DI</t>
  </si>
  <si>
    <t>DimensionD</t>
  </si>
  <si>
    <t>0.75-1.15mm</t>
  </si>
  <si>
    <t>DimensionE1</t>
  </si>
  <si>
    <t>6.2-6.6mm</t>
  </si>
  <si>
    <t>DimensionE2</t>
  </si>
  <si>
    <t>DimensionF1</t>
  </si>
  <si>
    <t>0.8-1.2mm</t>
  </si>
  <si>
    <t>DimensionF2</t>
  </si>
  <si>
    <t>DimensionG</t>
  </si>
  <si>
    <t>15.8-16.2mm</t>
  </si>
  <si>
    <t>DimensionH</t>
  </si>
  <si>
    <t>2.5-2.9mm</t>
  </si>
  <si>
    <t>จำนวนงาน/1 ม้วน</t>
  </si>
  <si>
    <t>จำนวนงาน/ 1กล่อง</t>
  </si>
  <si>
    <t>จำนวนงานทั้งหมด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</si>
</sst>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80" formatCode="[$-409]d\-mmm\-yyyy;@"/>
  </numFmts>
  <fonts count="6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charset val="222"/>
    </font>
    <font>
      <sz val="14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u/>
      <sz val="16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6"/>
      <name val="Arial"/>
      <family val="2"/>
    </font>
    <font>
      <sz val="6"/>
      <color theme="1"/>
      <name val="Arial"/>
      <family val="2"/>
    </font>
    <font>
      <sz val="6"/>
      <color indexed="9"/>
      <name val="Arial"/>
      <family val="2"/>
    </font>
    <font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0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1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7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11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12" applyNumberFormat="0" applyFont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4" fillId="0" borderId="0"/>
    <xf numFmtId="0" fontId="26" fillId="8" borderId="14" applyNumberFormat="0" applyAlignment="0" applyProtection="0">
      <alignment vertical="center"/>
    </xf>
    <xf numFmtId="0" fontId="27" fillId="19" borderId="15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0" fontId="33" fillId="0" borderId="1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14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41" fillId="0" borderId="0"/>
    <xf numFmtId="0" fontId="37" fillId="0" borderId="0"/>
    <xf numFmtId="0" fontId="5" fillId="0" borderId="0"/>
    <xf numFmtId="0" fontId="41" fillId="0" borderId="0"/>
  </cellStyleXfs>
  <cellXfs count="221">
    <xf numFmtId="0" fontId="0" fillId="0" borderId="0" xfId="0"/>
    <xf numFmtId="0" fontId="0" fillId="0" borderId="6" xfId="0" applyBorder="1"/>
    <xf numFmtId="0" fontId="40" fillId="0" borderId="1" xfId="143" applyBorder="1"/>
    <xf numFmtId="0" fontId="0" fillId="0" borderId="0" xfId="0" applyAlignment="1">
      <alignment horizontal="center"/>
    </xf>
    <xf numFmtId="0" fontId="0" fillId="0" borderId="9" xfId="0" applyBorder="1" applyAlignment="1"/>
    <xf numFmtId="0" fontId="0" fillId="0" borderId="25" xfId="0" applyBorder="1" applyAlignment="1">
      <alignment horizontal="center"/>
    </xf>
    <xf numFmtId="0" fontId="0" fillId="0" borderId="22" xfId="0" applyBorder="1" applyAlignment="1"/>
    <xf numFmtId="0" fontId="40" fillId="0" borderId="24" xfId="143" applyBorder="1"/>
    <xf numFmtId="0" fontId="0" fillId="21" borderId="9" xfId="0" applyFill="1" applyBorder="1" applyAlignment="1"/>
    <xf numFmtId="0" fontId="0" fillId="0" borderId="28" xfId="0" applyBorder="1" applyAlignment="1">
      <alignment horizontal="center"/>
    </xf>
    <xf numFmtId="0" fontId="42" fillId="22" borderId="21" xfId="0" applyFont="1" applyFill="1" applyBorder="1" applyAlignment="1">
      <alignment horizontal="center"/>
    </xf>
    <xf numFmtId="0" fontId="42" fillId="23" borderId="21" xfId="0" applyFont="1" applyFill="1" applyBorder="1"/>
    <xf numFmtId="0" fontId="42" fillId="2" borderId="20" xfId="143" applyFont="1" applyFill="1" applyBorder="1" applyAlignment="1">
      <alignment horizontal="center"/>
    </xf>
    <xf numFmtId="0" fontId="42" fillId="2" borderId="23" xfId="143" applyFont="1" applyFill="1" applyBorder="1" applyAlignment="1">
      <alignment horizontal="center"/>
    </xf>
    <xf numFmtId="0" fontId="42" fillId="2" borderId="27" xfId="143" applyFont="1" applyFill="1" applyBorder="1" applyAlignment="1">
      <alignment horizontal="center"/>
    </xf>
    <xf numFmtId="0" fontId="0" fillId="23" borderId="6" xfId="0" applyFill="1" applyBorder="1"/>
    <xf numFmtId="0" fontId="0" fillId="21" borderId="6" xfId="0" applyFill="1" applyBorder="1"/>
    <xf numFmtId="0" fontId="0" fillId="23" borderId="30" xfId="0" applyFill="1" applyBorder="1"/>
    <xf numFmtId="0" fontId="0" fillId="22" borderId="30" xfId="0" applyFill="1" applyBorder="1"/>
    <xf numFmtId="0" fontId="0" fillId="22" borderId="31" xfId="0" applyFill="1" applyBorder="1"/>
    <xf numFmtId="0" fontId="0" fillId="22" borderId="6" xfId="0" applyFill="1" applyBorder="1"/>
    <xf numFmtId="0" fontId="0" fillId="22" borderId="0" xfId="0" applyFill="1" applyBorder="1"/>
    <xf numFmtId="0" fontId="0" fillId="22" borderId="29" xfId="0" applyFill="1" applyBorder="1"/>
    <xf numFmtId="0" fontId="0" fillId="22" borderId="2" xfId="0" applyFill="1" applyBorder="1"/>
    <xf numFmtId="0" fontId="0" fillId="24" borderId="0" xfId="0" applyFill="1" applyBorder="1"/>
    <xf numFmtId="0" fontId="0" fillId="21" borderId="0" xfId="0" quotePrefix="1" applyFill="1"/>
    <xf numFmtId="0" fontId="0" fillId="23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3" borderId="31" xfId="0" applyFill="1" applyBorder="1"/>
    <xf numFmtId="0" fontId="43" fillId="0" borderId="0" xfId="146" applyNumberFormat="1" applyFont="1" applyAlignment="1">
      <alignment vertical="center"/>
    </xf>
    <xf numFmtId="0" fontId="43" fillId="0" borderId="0" xfId="146" applyFont="1" applyAlignment="1">
      <alignment vertical="center"/>
    </xf>
    <xf numFmtId="0" fontId="44" fillId="0" borderId="0" xfId="146" applyFont="1" applyBorder="1" applyAlignment="1">
      <alignment horizontal="center" vertical="center"/>
    </xf>
    <xf numFmtId="0" fontId="45" fillId="0" borderId="0" xfId="146" applyFont="1" applyAlignment="1">
      <alignment vertical="center"/>
    </xf>
    <xf numFmtId="0" fontId="46" fillId="0" borderId="0" xfId="146" applyFont="1" applyAlignment="1">
      <alignment horizontal="left" vertical="center"/>
    </xf>
    <xf numFmtId="0" fontId="4" fillId="0" borderId="0" xfId="146" applyFont="1" applyBorder="1" applyAlignment="1">
      <alignment vertical="center"/>
    </xf>
    <xf numFmtId="0" fontId="7" fillId="0" borderId="0" xfId="146" applyFont="1" applyAlignment="1">
      <alignment vertical="center"/>
    </xf>
    <xf numFmtId="0" fontId="4" fillId="0" borderId="0" xfId="146" applyFont="1" applyAlignment="1">
      <alignment horizontal="left" vertical="center"/>
    </xf>
    <xf numFmtId="0" fontId="45" fillId="0" borderId="0" xfId="146" applyFont="1" applyBorder="1" applyAlignment="1">
      <alignment vertical="center"/>
    </xf>
    <xf numFmtId="0" fontId="4" fillId="0" borderId="32" xfId="146" applyFont="1" applyBorder="1" applyAlignment="1">
      <alignment horizontal="left" vertical="center"/>
    </xf>
    <xf numFmtId="0" fontId="45" fillId="0" borderId="31" xfId="146" applyFont="1" applyBorder="1" applyAlignment="1">
      <alignment vertical="center"/>
    </xf>
    <xf numFmtId="0" fontId="4" fillId="0" borderId="32" xfId="146" applyFont="1" applyBorder="1" applyAlignment="1">
      <alignment vertical="center"/>
    </xf>
    <xf numFmtId="0" fontId="4" fillId="0" borderId="31" xfId="146" applyFont="1" applyBorder="1" applyAlignment="1">
      <alignment vertical="center"/>
    </xf>
    <xf numFmtId="0" fontId="4" fillId="0" borderId="33" xfId="146" applyFont="1" applyBorder="1" applyAlignment="1">
      <alignment vertical="center"/>
    </xf>
    <xf numFmtId="0" fontId="45" fillId="0" borderId="33" xfId="146" applyFont="1" applyBorder="1" applyAlignment="1">
      <alignment vertical="center"/>
    </xf>
    <xf numFmtId="0" fontId="4" fillId="0" borderId="4" xfId="146" applyFont="1" applyBorder="1" applyAlignment="1">
      <alignment vertical="center"/>
    </xf>
    <xf numFmtId="0" fontId="4" fillId="0" borderId="5" xfId="146" applyFont="1" applyBorder="1" applyAlignment="1">
      <alignment vertical="center"/>
    </xf>
    <xf numFmtId="0" fontId="45" fillId="0" borderId="4" xfId="146" applyFont="1" applyBorder="1" applyAlignment="1">
      <alignment vertical="center"/>
    </xf>
    <xf numFmtId="0" fontId="4" fillId="0" borderId="3" xfId="146" applyFont="1" applyBorder="1" applyAlignment="1">
      <alignment vertical="center"/>
    </xf>
    <xf numFmtId="0" fontId="45" fillId="0" borderId="5" xfId="146" applyFont="1" applyBorder="1" applyAlignment="1">
      <alignment vertical="center"/>
    </xf>
    <xf numFmtId="0" fontId="4" fillId="0" borderId="34" xfId="146" applyFont="1" applyBorder="1" applyAlignment="1">
      <alignment horizontal="center" vertical="center"/>
    </xf>
    <xf numFmtId="0" fontId="4" fillId="0" borderId="5" xfId="146" applyFont="1" applyFill="1" applyBorder="1" applyAlignment="1">
      <alignment vertical="center"/>
    </xf>
    <xf numFmtId="0" fontId="4" fillId="0" borderId="3" xfId="146" applyFont="1" applyFill="1" applyBorder="1" applyAlignment="1">
      <alignment vertical="center"/>
    </xf>
    <xf numFmtId="0" fontId="48" fillId="0" borderId="4" xfId="146" applyFont="1" applyFill="1" applyBorder="1" applyAlignment="1">
      <alignment vertical="center"/>
    </xf>
    <xf numFmtId="0" fontId="6" fillId="0" borderId="4" xfId="146" applyFont="1" applyBorder="1" applyAlignment="1">
      <alignment vertical="center"/>
    </xf>
    <xf numFmtId="0" fontId="49" fillId="0" borderId="4" xfId="146" applyFont="1" applyFill="1" applyBorder="1" applyAlignment="1">
      <alignment vertical="center"/>
    </xf>
    <xf numFmtId="0" fontId="6" fillId="0" borderId="5" xfId="146" applyFont="1" applyBorder="1" applyAlignment="1">
      <alignment vertical="center"/>
    </xf>
    <xf numFmtId="0" fontId="6" fillId="0" borderId="3" xfId="146" applyFont="1" applyBorder="1" applyAlignment="1">
      <alignment vertical="center"/>
    </xf>
    <xf numFmtId="0" fontId="6" fillId="0" borderId="0" xfId="146" applyFont="1" applyAlignment="1">
      <alignment vertical="center"/>
    </xf>
    <xf numFmtId="0" fontId="4" fillId="0" borderId="4" xfId="146" applyFont="1" applyFill="1" applyBorder="1" applyAlignment="1">
      <alignment vertical="center"/>
    </xf>
    <xf numFmtId="0" fontId="4" fillId="0" borderId="26" xfId="146" applyFont="1" applyFill="1" applyBorder="1" applyAlignment="1">
      <alignment vertical="center"/>
    </xf>
    <xf numFmtId="0" fontId="6" fillId="0" borderId="26" xfId="146" applyFont="1" applyBorder="1" applyAlignment="1">
      <alignment vertical="center"/>
    </xf>
    <xf numFmtId="0" fontId="6" fillId="0" borderId="2" xfId="146" applyFont="1" applyBorder="1" applyAlignment="1">
      <alignment vertical="center"/>
    </xf>
    <xf numFmtId="0" fontId="4" fillId="0" borderId="2" xfId="146" applyFont="1" applyFill="1" applyBorder="1" applyAlignment="1">
      <alignment vertical="center"/>
    </xf>
    <xf numFmtId="0" fontId="4" fillId="0" borderId="35" xfId="146" applyFont="1" applyFill="1" applyBorder="1" applyAlignment="1">
      <alignment vertical="center"/>
    </xf>
    <xf numFmtId="0" fontId="4" fillId="0" borderId="0" xfId="146" applyFont="1" applyFill="1" applyBorder="1" applyAlignment="1">
      <alignment vertical="center"/>
    </xf>
    <xf numFmtId="0" fontId="44" fillId="0" borderId="3" xfId="146" applyFont="1" applyFill="1" applyBorder="1" applyAlignment="1">
      <alignment horizontal="left" vertical="center"/>
    </xf>
    <xf numFmtId="0" fontId="44" fillId="0" borderId="3" xfId="146" applyFont="1" applyFill="1" applyBorder="1" applyAlignment="1">
      <alignment vertical="center"/>
    </xf>
    <xf numFmtId="0" fontId="44" fillId="0" borderId="4" xfId="146" applyFont="1" applyFill="1" applyBorder="1" applyAlignment="1">
      <alignment vertical="center"/>
    </xf>
    <xf numFmtId="0" fontId="44" fillId="0" borderId="5" xfId="146" applyFont="1" applyFill="1" applyBorder="1" applyAlignment="1">
      <alignment vertical="center"/>
    </xf>
    <xf numFmtId="0" fontId="4" fillId="0" borderId="36" xfId="146" applyFont="1" applyFill="1" applyBorder="1" applyAlignment="1">
      <alignment vertical="center"/>
    </xf>
    <xf numFmtId="0" fontId="44" fillId="0" borderId="36" xfId="146" applyFont="1" applyFill="1" applyBorder="1" applyAlignment="1">
      <alignment vertical="center"/>
    </xf>
    <xf numFmtId="0" fontId="44" fillId="0" borderId="0" xfId="146" applyFont="1" applyFill="1" applyBorder="1" applyAlignment="1">
      <alignment vertical="center"/>
    </xf>
    <xf numFmtId="0" fontId="44" fillId="0" borderId="34" xfId="146" applyFont="1" applyFill="1" applyBorder="1" applyAlignment="1">
      <alignment vertical="center"/>
    </xf>
    <xf numFmtId="0" fontId="4" fillId="0" borderId="34" xfId="146" applyFont="1" applyFill="1" applyBorder="1" applyAlignment="1">
      <alignment vertical="center"/>
    </xf>
    <xf numFmtId="0" fontId="50" fillId="0" borderId="3" xfId="147" applyFont="1" applyBorder="1"/>
    <xf numFmtId="0" fontId="50" fillId="0" borderId="26" xfId="147" applyFont="1" applyBorder="1"/>
    <xf numFmtId="0" fontId="44" fillId="0" borderId="2" xfId="146" applyFont="1" applyFill="1" applyBorder="1" applyAlignment="1">
      <alignment vertical="center"/>
    </xf>
    <xf numFmtId="0" fontId="44" fillId="0" borderId="26" xfId="146" applyFont="1" applyFill="1" applyBorder="1" applyAlignment="1">
      <alignment vertical="center"/>
    </xf>
    <xf numFmtId="0" fontId="45" fillId="0" borderId="2" xfId="146" applyFont="1" applyBorder="1" applyAlignment="1">
      <alignment vertical="center"/>
    </xf>
    <xf numFmtId="0" fontId="45" fillId="0" borderId="35" xfId="146" applyFont="1" applyBorder="1" applyAlignment="1">
      <alignment vertical="center"/>
    </xf>
    <xf numFmtId="0" fontId="45" fillId="0" borderId="0" xfId="146" applyFont="1"/>
    <xf numFmtId="0" fontId="4" fillId="0" borderId="0" xfId="146" applyFont="1"/>
    <xf numFmtId="0" fontId="4" fillId="0" borderId="0" xfId="146" applyFont="1" applyAlignment="1">
      <alignment vertical="center"/>
    </xf>
    <xf numFmtId="0" fontId="51" fillId="0" borderId="32" xfId="146" applyFont="1" applyFill="1" applyBorder="1" applyAlignment="1">
      <alignment vertical="center"/>
    </xf>
    <xf numFmtId="0" fontId="5" fillId="0" borderId="31" xfId="146" applyFont="1" applyFill="1" applyBorder="1" applyAlignment="1">
      <alignment vertical="center"/>
    </xf>
    <xf numFmtId="0" fontId="5" fillId="0" borderId="31" xfId="146" applyFont="1" applyBorder="1" applyAlignment="1">
      <alignment vertical="center"/>
    </xf>
    <xf numFmtId="0" fontId="5" fillId="0" borderId="33" xfId="146" applyFont="1" applyBorder="1" applyAlignment="1">
      <alignment vertical="center"/>
    </xf>
    <xf numFmtId="0" fontId="51" fillId="0" borderId="31" xfId="146" applyFont="1" applyBorder="1" applyAlignment="1">
      <alignment vertical="center"/>
    </xf>
    <xf numFmtId="0" fontId="5" fillId="0" borderId="0" xfId="146" applyFont="1" applyAlignment="1">
      <alignment vertical="center"/>
    </xf>
    <xf numFmtId="0" fontId="51" fillId="0" borderId="32" xfId="146" applyFont="1" applyBorder="1" applyAlignment="1">
      <alignment vertical="center"/>
    </xf>
    <xf numFmtId="0" fontId="5" fillId="0" borderId="36" xfId="146" applyFont="1" applyFill="1" applyBorder="1" applyAlignment="1">
      <alignment vertical="center"/>
    </xf>
    <xf numFmtId="0" fontId="5" fillId="0" borderId="0" xfId="146" applyFont="1" applyFill="1" applyBorder="1" applyAlignment="1">
      <alignment vertical="center"/>
    </xf>
    <xf numFmtId="0" fontId="5" fillId="0" borderId="34" xfId="146" applyFont="1" applyFill="1" applyBorder="1" applyAlignment="1">
      <alignment vertical="center"/>
    </xf>
    <xf numFmtId="0" fontId="52" fillId="0" borderId="0" xfId="147" applyFont="1" applyBorder="1"/>
    <xf numFmtId="0" fontId="5" fillId="0" borderId="0" xfId="146" applyFont="1" applyFill="1" applyAlignment="1">
      <alignment vertical="center"/>
    </xf>
    <xf numFmtId="0" fontId="52" fillId="0" borderId="36" xfId="147" applyFont="1" applyBorder="1"/>
    <xf numFmtId="0" fontId="4" fillId="0" borderId="0" xfId="146" applyFont="1" applyFill="1" applyAlignment="1">
      <alignment vertical="center"/>
    </xf>
    <xf numFmtId="2" fontId="5" fillId="0" borderId="34" xfId="148" applyNumberFormat="1" applyFont="1" applyFill="1" applyBorder="1" applyAlignment="1" applyProtection="1">
      <alignment horizontal="center" wrapText="1"/>
      <protection locked="0"/>
    </xf>
    <xf numFmtId="2" fontId="51" fillId="0" borderId="34" xfId="149" applyNumberFormat="1" applyFont="1" applyFill="1" applyBorder="1" applyAlignment="1">
      <alignment horizontal="center" vertical="center"/>
    </xf>
    <xf numFmtId="2" fontId="51" fillId="0" borderId="36" xfId="149" applyNumberFormat="1" applyFont="1" applyFill="1" applyBorder="1" applyAlignment="1">
      <alignment horizontal="center" vertical="center"/>
    </xf>
    <xf numFmtId="0" fontId="5" fillId="0" borderId="34" xfId="146" applyFont="1" applyBorder="1" applyAlignment="1">
      <alignment vertical="center"/>
    </xf>
    <xf numFmtId="0" fontId="5" fillId="0" borderId="0" xfId="146" applyFont="1" applyBorder="1" applyAlignment="1">
      <alignment vertical="center"/>
    </xf>
    <xf numFmtId="0" fontId="53" fillId="0" borderId="2" xfId="148" applyFont="1" applyFill="1" applyBorder="1" applyAlignment="1">
      <alignment horizontal="center" vertical="center"/>
    </xf>
    <xf numFmtId="0" fontId="53" fillId="0" borderId="26" xfId="148" applyFont="1" applyFill="1" applyBorder="1" applyAlignment="1">
      <alignment horizontal="center" vertical="center"/>
    </xf>
    <xf numFmtId="0" fontId="5" fillId="0" borderId="2" xfId="146" applyFont="1" applyFill="1" applyBorder="1" applyAlignment="1">
      <alignment vertical="center"/>
    </xf>
    <xf numFmtId="0" fontId="5" fillId="0" borderId="35" xfId="146" applyFont="1" applyBorder="1" applyAlignment="1">
      <alignment vertical="center"/>
    </xf>
    <xf numFmtId="0" fontId="5" fillId="0" borderId="2" xfId="146" applyFont="1" applyBorder="1" applyAlignment="1">
      <alignment vertical="center"/>
    </xf>
    <xf numFmtId="0" fontId="52" fillId="0" borderId="26" xfId="147" applyFont="1" applyBorder="1"/>
    <xf numFmtId="0" fontId="45" fillId="0" borderId="0" xfId="146" applyFont="1" applyFill="1" applyBorder="1" applyAlignment="1">
      <alignment vertical="center"/>
    </xf>
    <xf numFmtId="0" fontId="44" fillId="0" borderId="0" xfId="146" applyFont="1" applyFill="1" applyBorder="1" applyAlignment="1">
      <alignment horizontal="center" vertical="center"/>
    </xf>
    <xf numFmtId="0" fontId="54" fillId="0" borderId="0" xfId="146" applyFont="1" applyFill="1" applyBorder="1" applyAlignment="1">
      <alignment horizontal="center" vertical="center"/>
    </xf>
    <xf numFmtId="0" fontId="55" fillId="0" borderId="0" xfId="146" applyFont="1" applyFill="1" applyBorder="1" applyAlignment="1">
      <alignment vertical="center"/>
    </xf>
    <xf numFmtId="0" fontId="55" fillId="0" borderId="0" xfId="146" applyFont="1" applyAlignment="1">
      <alignment vertical="center"/>
    </xf>
    <xf numFmtId="0" fontId="4" fillId="0" borderId="1" xfId="146" applyFont="1" applyFill="1" applyBorder="1" applyAlignment="1">
      <alignment horizontal="right" vertical="center"/>
    </xf>
    <xf numFmtId="0" fontId="0" fillId="23" borderId="29" xfId="0" applyFill="1" applyBorder="1"/>
    <xf numFmtId="0" fontId="0" fillId="23" borderId="2" xfId="0" applyFill="1" applyBorder="1"/>
    <xf numFmtId="0" fontId="52" fillId="0" borderId="36" xfId="147" applyFont="1" applyBorder="1" applyAlignment="1">
      <alignment horizontal="center" vertical="top" wrapText="1"/>
    </xf>
    <xf numFmtId="0" fontId="52" fillId="0" borderId="36" xfId="147" applyFont="1" applyBorder="1" applyAlignment="1">
      <alignment vertical="top" wrapText="1"/>
    </xf>
    <xf numFmtId="0" fontId="52" fillId="0" borderId="0" xfId="147" applyFont="1" applyBorder="1" applyAlignment="1">
      <alignment vertical="top" wrapText="1"/>
    </xf>
    <xf numFmtId="2" fontId="51" fillId="0" borderId="0" xfId="149" applyNumberFormat="1" applyFont="1" applyFill="1" applyBorder="1" applyAlignment="1">
      <alignment horizontal="center" vertical="center"/>
    </xf>
    <xf numFmtId="0" fontId="51" fillId="0" borderId="31" xfId="146" applyFont="1" applyFill="1" applyBorder="1" applyAlignment="1">
      <alignment vertical="center"/>
    </xf>
    <xf numFmtId="2" fontId="5" fillId="0" borderId="0" xfId="148" applyNumberFormat="1" applyFont="1" applyFill="1" applyBorder="1" applyAlignment="1">
      <alignment horizontal="center" wrapText="1"/>
    </xf>
    <xf numFmtId="0" fontId="5" fillId="0" borderId="32" xfId="146" applyFont="1" applyBorder="1" applyAlignment="1">
      <alignment vertical="center"/>
    </xf>
    <xf numFmtId="2" fontId="5" fillId="0" borderId="36" xfId="148" applyNumberFormat="1" applyFont="1" applyFill="1" applyBorder="1" applyAlignment="1" applyProtection="1">
      <alignment horizontal="center" wrapText="1"/>
      <protection locked="0"/>
    </xf>
    <xf numFmtId="0" fontId="60" fillId="0" borderId="4" xfId="146" applyFont="1" applyFill="1" applyBorder="1" applyAlignment="1">
      <alignment vertical="center"/>
    </xf>
    <xf numFmtId="0" fontId="60" fillId="0" borderId="5" xfId="146" applyFont="1" applyFill="1" applyBorder="1" applyAlignment="1">
      <alignment vertical="center"/>
    </xf>
    <xf numFmtId="0" fontId="60" fillId="0" borderId="2" xfId="146" applyFont="1" applyFill="1" applyBorder="1" applyAlignment="1">
      <alignment vertical="center"/>
    </xf>
    <xf numFmtId="0" fontId="60" fillId="0" borderId="35" xfId="146" applyFont="1" applyFill="1" applyBorder="1" applyAlignment="1">
      <alignment vertical="center"/>
    </xf>
    <xf numFmtId="0" fontId="43" fillId="0" borderId="42" xfId="146" applyFont="1" applyBorder="1" applyAlignment="1">
      <alignment vertical="center"/>
    </xf>
    <xf numFmtId="0" fontId="43" fillId="0" borderId="6" xfId="146" applyFont="1" applyBorder="1" applyAlignment="1">
      <alignment vertical="center"/>
    </xf>
    <xf numFmtId="0" fontId="61" fillId="0" borderId="43" xfId="146" applyFont="1" applyBorder="1" applyAlignment="1">
      <alignment horizontal="center"/>
    </xf>
    <xf numFmtId="0" fontId="61" fillId="0" borderId="48" xfId="146" applyFont="1" applyBorder="1" applyAlignment="1">
      <alignment horizontal="center"/>
    </xf>
    <xf numFmtId="0" fontId="50" fillId="0" borderId="40" xfId="146" applyFont="1" applyBorder="1" applyAlignment="1">
      <alignment horizontal="center" vertical="center"/>
    </xf>
    <xf numFmtId="0" fontId="50" fillId="0" borderId="41" xfId="146" applyFont="1" applyBorder="1" applyAlignment="1">
      <alignment horizontal="center" vertical="center"/>
    </xf>
    <xf numFmtId="0" fontId="45" fillId="0" borderId="31" xfId="146" applyFont="1" applyBorder="1" applyAlignment="1">
      <alignment horizontal="left" vertical="center"/>
    </xf>
    <xf numFmtId="0" fontId="4" fillId="0" borderId="33" xfId="146" applyFont="1" applyBorder="1" applyAlignment="1">
      <alignment horizontal="left" vertical="center"/>
    </xf>
    <xf numFmtId="49" fontId="4" fillId="0" borderId="3" xfId="146" applyNumberFormat="1" applyFont="1" applyBorder="1" applyAlignment="1">
      <alignment vertic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59" fillId="0" borderId="32" xfId="147" applyFont="1" applyBorder="1" applyAlignment="1">
      <alignment horizontal="center" vertical="center" wrapText="1"/>
    </xf>
    <xf numFmtId="0" fontId="59" fillId="0" borderId="33" xfId="147" applyFont="1" applyBorder="1" applyAlignment="1">
      <alignment horizontal="center" vertical="center" wrapText="1"/>
    </xf>
    <xf numFmtId="0" fontId="59" fillId="0" borderId="36" xfId="147" applyFont="1" applyBorder="1" applyAlignment="1">
      <alignment horizontal="center" vertical="center" wrapText="1"/>
    </xf>
    <xf numFmtId="0" fontId="59" fillId="0" borderId="34" xfId="147" applyFont="1" applyBorder="1" applyAlignment="1">
      <alignment horizontal="center" vertical="center" wrapText="1"/>
    </xf>
    <xf numFmtId="0" fontId="59" fillId="0" borderId="26" xfId="147" applyFont="1" applyBorder="1" applyAlignment="1">
      <alignment horizontal="center" vertical="center" wrapText="1"/>
    </xf>
    <xf numFmtId="0" fontId="59" fillId="0" borderId="35" xfId="147" applyFont="1" applyBorder="1" applyAlignment="1">
      <alignment horizontal="center" vertical="center" wrapText="1"/>
    </xf>
    <xf numFmtId="0" fontId="59" fillId="0" borderId="30" xfId="147" applyFont="1" applyBorder="1" applyAlignment="1">
      <alignment horizontal="center" vertical="center" wrapText="1"/>
    </xf>
    <xf numFmtId="0" fontId="59" fillId="0" borderId="6" xfId="147" applyFont="1" applyBorder="1" applyAlignment="1">
      <alignment horizontal="center" vertical="center" wrapText="1"/>
    </xf>
    <xf numFmtId="0" fontId="59" fillId="0" borderId="29" xfId="147" applyFont="1" applyBorder="1" applyAlignment="1">
      <alignment horizontal="center" vertical="center" wrapText="1"/>
    </xf>
    <xf numFmtId="0" fontId="58" fillId="0" borderId="32" xfId="148" applyFont="1" applyFill="1" applyBorder="1" applyAlignment="1">
      <alignment horizontal="center" vertical="center"/>
    </xf>
    <xf numFmtId="0" fontId="58" fillId="0" borderId="33" xfId="148" applyFont="1" applyFill="1" applyBorder="1" applyAlignment="1">
      <alignment horizontal="center" vertical="center"/>
    </xf>
    <xf numFmtId="0" fontId="58" fillId="0" borderId="26" xfId="148" applyFont="1" applyFill="1" applyBorder="1" applyAlignment="1">
      <alignment horizontal="center" vertical="center"/>
    </xf>
    <xf numFmtId="0" fontId="58" fillId="0" borderId="35" xfId="148" applyFont="1" applyFill="1" applyBorder="1" applyAlignment="1">
      <alignment horizontal="center" vertical="center"/>
    </xf>
    <xf numFmtId="0" fontId="5" fillId="0" borderId="30" xfId="146" applyFont="1" applyFill="1" applyBorder="1" applyAlignment="1">
      <alignment horizontal="center" vertical="center"/>
    </xf>
    <xf numFmtId="0" fontId="5" fillId="0" borderId="29" xfId="146" applyFont="1" applyFill="1" applyBorder="1" applyAlignment="1">
      <alignment horizontal="center" vertical="center"/>
    </xf>
    <xf numFmtId="0" fontId="58" fillId="0" borderId="30" xfId="148" applyFont="1" applyFill="1" applyBorder="1" applyAlignment="1">
      <alignment horizontal="center" vertical="center"/>
    </xf>
    <xf numFmtId="0" fontId="58" fillId="0" borderId="29" xfId="148" applyFont="1" applyFill="1" applyBorder="1" applyAlignment="1">
      <alignment horizontal="center" vertical="center"/>
    </xf>
    <xf numFmtId="0" fontId="4" fillId="0" borderId="3" xfId="146" applyFont="1" applyFill="1" applyBorder="1" applyAlignment="1">
      <alignment horizontal="center" vertical="center"/>
    </xf>
    <xf numFmtId="0" fontId="4" fillId="0" borderId="4" xfId="146" applyFont="1" applyFill="1" applyBorder="1" applyAlignment="1">
      <alignment horizontal="center" vertical="center"/>
    </xf>
    <xf numFmtId="0" fontId="4" fillId="0" borderId="5" xfId="146" applyFont="1" applyFill="1" applyBorder="1" applyAlignment="1">
      <alignment horizontal="center" vertical="center"/>
    </xf>
    <xf numFmtId="0" fontId="4" fillId="0" borderId="32" xfId="146" applyFont="1" applyFill="1" applyBorder="1" applyAlignment="1">
      <alignment horizontal="center" vertical="center"/>
    </xf>
    <xf numFmtId="0" fontId="4" fillId="0" borderId="33" xfId="146" applyFont="1" applyFill="1" applyBorder="1" applyAlignment="1">
      <alignment horizontal="center" vertical="center"/>
    </xf>
    <xf numFmtId="0" fontId="4" fillId="0" borderId="3" xfId="146" applyFont="1" applyFill="1" applyBorder="1" applyAlignment="1">
      <alignment horizontal="right" vertical="center"/>
    </xf>
    <xf numFmtId="0" fontId="4" fillId="0" borderId="5" xfId="146" applyFont="1" applyFill="1" applyBorder="1" applyAlignment="1">
      <alignment horizontal="right" vertical="center"/>
    </xf>
    <xf numFmtId="0" fontId="4" fillId="0" borderId="3" xfId="146" applyFont="1" applyBorder="1" applyAlignment="1">
      <alignment horizontal="center" vertical="center"/>
    </xf>
    <xf numFmtId="0" fontId="4" fillId="0" borderId="5" xfId="146" applyFont="1" applyBorder="1" applyAlignment="1">
      <alignment horizontal="center" vertical="center"/>
    </xf>
    <xf numFmtId="0" fontId="4" fillId="0" borderId="31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 vertical="center"/>
    </xf>
    <xf numFmtId="0" fontId="4" fillId="0" borderId="35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/>
    </xf>
    <xf numFmtId="0" fontId="4" fillId="0" borderId="33" xfId="146" applyFont="1" applyBorder="1" applyAlignment="1">
      <alignment horizontal="center"/>
    </xf>
    <xf numFmtId="0" fontId="4" fillId="0" borderId="30" xfId="146" applyFont="1" applyFill="1" applyBorder="1" applyAlignment="1">
      <alignment horizontal="center" vertical="center"/>
    </xf>
    <xf numFmtId="0" fontId="4" fillId="0" borderId="29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 vertical="center" wrapText="1"/>
    </xf>
    <xf numFmtId="0" fontId="4" fillId="0" borderId="33" xfId="146" applyFont="1" applyBorder="1" applyAlignment="1">
      <alignment horizontal="center" vertical="center" wrapText="1"/>
    </xf>
    <xf numFmtId="0" fontId="4" fillId="0" borderId="2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/>
    </xf>
    <xf numFmtId="0" fontId="4" fillId="0" borderId="35" xfId="146" applyFont="1" applyFill="1" applyBorder="1" applyAlignment="1">
      <alignment horizontal="center"/>
    </xf>
    <xf numFmtId="0" fontId="4" fillId="0" borderId="26" xfId="146" applyFont="1" applyBorder="1" applyAlignment="1">
      <alignment horizontal="center" vertical="center"/>
    </xf>
    <xf numFmtId="0" fontId="4" fillId="0" borderId="35" xfId="146" applyFont="1" applyBorder="1" applyAlignment="1">
      <alignment horizontal="center" vertical="center"/>
    </xf>
    <xf numFmtId="0" fontId="56" fillId="0" borderId="32" xfId="146" applyFont="1" applyFill="1" applyBorder="1" applyAlignment="1">
      <alignment horizontal="center" vertical="center"/>
    </xf>
    <xf numFmtId="0" fontId="56" fillId="0" borderId="31" xfId="146" applyFont="1" applyFill="1" applyBorder="1" applyAlignment="1">
      <alignment horizontal="center" vertical="center"/>
    </xf>
    <xf numFmtId="0" fontId="56" fillId="0" borderId="33" xfId="146" applyFont="1" applyFill="1" applyBorder="1" applyAlignment="1">
      <alignment horizontal="center" vertical="center"/>
    </xf>
    <xf numFmtId="0" fontId="56" fillId="0" borderId="36" xfId="146" applyFont="1" applyFill="1" applyBorder="1" applyAlignment="1">
      <alignment horizontal="center" vertical="center"/>
    </xf>
    <xf numFmtId="0" fontId="56" fillId="0" borderId="0" xfId="146" applyFont="1" applyFill="1" applyBorder="1" applyAlignment="1">
      <alignment horizontal="center" vertical="center"/>
    </xf>
    <xf numFmtId="0" fontId="56" fillId="0" borderId="34" xfId="146" applyFont="1" applyFill="1" applyBorder="1" applyAlignment="1">
      <alignment horizontal="center" vertical="center"/>
    </xf>
    <xf numFmtId="0" fontId="56" fillId="0" borderId="26" xfId="146" applyFont="1" applyFill="1" applyBorder="1" applyAlignment="1">
      <alignment horizontal="center" vertical="center"/>
    </xf>
    <xf numFmtId="0" fontId="56" fillId="0" borderId="2" xfId="146" applyFont="1" applyFill="1" applyBorder="1" applyAlignment="1">
      <alignment horizontal="center" vertical="center"/>
    </xf>
    <xf numFmtId="0" fontId="56" fillId="0" borderId="35" xfId="146" applyFont="1" applyFill="1" applyBorder="1" applyAlignment="1">
      <alignment horizontal="center" vertical="center"/>
    </xf>
    <xf numFmtId="0" fontId="57" fillId="0" borderId="32" xfId="146" applyFont="1" applyBorder="1" applyAlignment="1">
      <alignment horizontal="center" vertical="center"/>
    </xf>
    <xf numFmtId="0" fontId="6" fillId="0" borderId="31" xfId="146" applyFont="1" applyBorder="1" applyAlignment="1">
      <alignment horizontal="center" vertical="center"/>
    </xf>
    <xf numFmtId="0" fontId="6" fillId="0" borderId="33" xfId="146" applyFont="1" applyBorder="1" applyAlignment="1">
      <alignment horizontal="center" vertical="center"/>
    </xf>
    <xf numFmtId="0" fontId="6" fillId="0" borderId="36" xfId="146" applyFont="1" applyBorder="1" applyAlignment="1">
      <alignment horizontal="center" vertical="center"/>
    </xf>
    <xf numFmtId="0" fontId="6" fillId="0" borderId="0" xfId="146" applyFont="1" applyBorder="1" applyAlignment="1">
      <alignment horizontal="center" vertical="center"/>
    </xf>
    <xf numFmtId="0" fontId="6" fillId="0" borderId="34" xfId="146" applyFont="1" applyBorder="1" applyAlignment="1">
      <alignment horizontal="center" vertical="center"/>
    </xf>
    <xf numFmtId="0" fontId="6" fillId="0" borderId="26" xfId="146" applyFont="1" applyBorder="1" applyAlignment="1">
      <alignment horizontal="center" vertical="center"/>
    </xf>
    <xf numFmtId="0" fontId="6" fillId="0" borderId="2" xfId="146" applyFont="1" applyBorder="1" applyAlignment="1">
      <alignment horizontal="center" vertical="center"/>
    </xf>
    <xf numFmtId="0" fontId="6" fillId="0" borderId="35" xfId="146" applyFont="1" applyBorder="1" applyAlignment="1">
      <alignment horizontal="center" vertical="center"/>
    </xf>
    <xf numFmtId="0" fontId="50" fillId="0" borderId="47" xfId="146" applyFont="1" applyBorder="1" applyAlignment="1">
      <alignment horizontal="center" vertical="center"/>
    </xf>
    <xf numFmtId="0" fontId="50" fillId="0" borderId="37" xfId="146" applyFont="1" applyBorder="1" applyAlignment="1">
      <alignment horizontal="center" vertical="center"/>
    </xf>
    <xf numFmtId="0" fontId="43" fillId="0" borderId="44" xfId="146" applyFont="1" applyBorder="1" applyAlignment="1">
      <alignment horizontal="center" vertical="center"/>
    </xf>
    <xf numFmtId="0" fontId="43" fillId="0" borderId="45" xfId="146" applyFont="1" applyBorder="1" applyAlignment="1">
      <alignment horizontal="center" vertical="center"/>
    </xf>
    <xf numFmtId="0" fontId="62" fillId="0" borderId="46" xfId="146" applyFont="1" applyBorder="1" applyAlignment="1">
      <alignment horizontal="center"/>
    </xf>
    <xf numFmtId="0" fontId="63" fillId="0" borderId="39" xfId="146" applyFont="1" applyBorder="1" applyAlignment="1">
      <alignment horizont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4" fillId="0" borderId="5" xfId="146" applyFont="1" applyBorder="1" applyAlignment="1">
      <alignment horizontal="left" vertical="center"/>
    </xf>
    <xf numFmtId="0" fontId="4" fillId="0" borderId="4" xfId="146" applyFont="1" applyFill="1" applyBorder="1" applyAlignment="1">
      <alignment horizontal="right" vertical="center"/>
    </xf>
    <xf numFmtId="0" fontId="44" fillId="0" borderId="3" xfId="146" applyFont="1" applyFill="1" applyBorder="1" applyAlignment="1">
      <alignment horizontal="center" vertical="center"/>
    </xf>
    <xf numFmtId="0" fontId="44" fillId="0" borderId="5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 wrapText="1"/>
    </xf>
    <xf numFmtId="0" fontId="44" fillId="0" borderId="4" xfId="146" applyFont="1" applyBorder="1" applyAlignment="1">
      <alignment horizontal="center" vertical="center" wrapText="1"/>
    </xf>
    <xf numFmtId="0" fontId="44" fillId="0" borderId="5" xfId="146" applyFont="1" applyBorder="1" applyAlignment="1">
      <alignment horizontal="center" vertical="center" wrapText="1"/>
    </xf>
    <xf numFmtId="0" fontId="44" fillId="0" borderId="4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/>
    </xf>
    <xf numFmtId="0" fontId="44" fillId="0" borderId="4" xfId="146" applyFont="1" applyBorder="1" applyAlignment="1">
      <alignment horizontal="center" vertical="center"/>
    </xf>
    <xf numFmtId="0" fontId="44" fillId="0" borderId="5" xfId="146" applyFont="1" applyBorder="1" applyAlignment="1">
      <alignment horizontal="center" vertical="center"/>
    </xf>
    <xf numFmtId="180" fontId="64" fillId="0" borderId="42" xfId="146" applyNumberFormat="1" applyFont="1" applyBorder="1" applyAlignment="1">
      <alignment horizontal="center" vertical="center"/>
    </xf>
    <xf numFmtId="180" fontId="64" fillId="0" borderId="6" xfId="146" applyNumberFormat="1" applyFont="1" applyBorder="1" applyAlignment="1">
      <alignment horizontal="center" vertical="center"/>
    </xf>
    <xf numFmtId="180" fontId="64" fillId="0" borderId="36" xfId="146" applyNumberFormat="1" applyFont="1" applyBorder="1" applyAlignment="1">
      <alignment horizontal="center" vertical="center"/>
    </xf>
    <xf numFmtId="180" fontId="64" fillId="0" borderId="38" xfId="146" applyNumberFormat="1" applyFont="1" applyBorder="1" applyAlignment="1">
      <alignment horizontal="center" vertical="center"/>
    </xf>
  </cellXfs>
  <cellStyles count="150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Normal 7" xfId="147" xr:uid="{00000000-0005-0000-0000-00003C000000}"/>
    <cellStyle name="Percent [0]" xfId="58" xr:uid="{00000000-0005-0000-0000-00003D000000}"/>
    <cellStyle name="Percent [00]" xfId="59" xr:uid="{00000000-0005-0000-0000-00003E000000}"/>
    <cellStyle name="Percent [2]" xfId="60" xr:uid="{00000000-0005-0000-0000-00003F000000}"/>
    <cellStyle name="Percent 2" xfId="5" xr:uid="{00000000-0005-0000-0000-000040000000}"/>
    <cellStyle name="Percent 3" xfId="142" xr:uid="{00000000-0005-0000-0000-000041000000}"/>
    <cellStyle name="PrePop Currency (0)" xfId="61" xr:uid="{00000000-0005-0000-0000-000042000000}"/>
    <cellStyle name="PrePop Currency (2)" xfId="62" xr:uid="{00000000-0005-0000-0000-000043000000}"/>
    <cellStyle name="PrePop Units (0)" xfId="63" xr:uid="{00000000-0005-0000-0000-000044000000}"/>
    <cellStyle name="PrePop Units (1)" xfId="64" xr:uid="{00000000-0005-0000-0000-000045000000}"/>
    <cellStyle name="PrePop Units (2)" xfId="65" xr:uid="{00000000-0005-0000-0000-000046000000}"/>
    <cellStyle name="PSChar" xfId="66" xr:uid="{00000000-0005-0000-0000-000047000000}"/>
    <cellStyle name="PSDate" xfId="67" xr:uid="{00000000-0005-0000-0000-000048000000}"/>
    <cellStyle name="PSDec" xfId="68" xr:uid="{00000000-0005-0000-0000-000049000000}"/>
    <cellStyle name="PSHeading" xfId="69" xr:uid="{00000000-0005-0000-0000-00004A000000}"/>
    <cellStyle name="PSInt" xfId="70" xr:uid="{00000000-0005-0000-0000-00004B000000}"/>
    <cellStyle name="PSSpacer" xfId="71" xr:uid="{00000000-0005-0000-0000-00004C000000}"/>
    <cellStyle name="Style 1" xfId="144" xr:uid="{00000000-0005-0000-0000-00004D000000}"/>
    <cellStyle name="Text Indent A" xfId="72" xr:uid="{00000000-0005-0000-0000-00004E000000}"/>
    <cellStyle name="Text Indent B" xfId="73" xr:uid="{00000000-0005-0000-0000-00004F000000}"/>
    <cellStyle name="Text Indent C" xfId="74" xr:uid="{00000000-0005-0000-0000-000050000000}"/>
    <cellStyle name="アクセント 1" xfId="75" xr:uid="{00000000-0005-0000-0000-000051000000}"/>
    <cellStyle name="アクセント 2" xfId="76" xr:uid="{00000000-0005-0000-0000-000052000000}"/>
    <cellStyle name="アクセント 3" xfId="77" xr:uid="{00000000-0005-0000-0000-000053000000}"/>
    <cellStyle name="アクセント 4" xfId="78" xr:uid="{00000000-0005-0000-0000-000054000000}"/>
    <cellStyle name="アクセント 5" xfId="79" xr:uid="{00000000-0005-0000-0000-000055000000}"/>
    <cellStyle name="アクセント 6" xfId="80" xr:uid="{00000000-0005-0000-0000-000056000000}"/>
    <cellStyle name="ｵﾒﾁ｡ﾒﾃ爼ﾗ靉ﾁ篦ｧﾋﾅﾒﾂﾁﾔｵﾔ" xfId="81" xr:uid="{00000000-0005-0000-0000-000057000000}"/>
    <cellStyle name="ｻ｡ｵﾔ_NEGS" xfId="82" xr:uid="{00000000-0005-0000-0000-000058000000}"/>
    <cellStyle name="タイトル" xfId="83" xr:uid="{00000000-0005-0000-0000-000059000000}"/>
    <cellStyle name="チェック セル" xfId="84" xr:uid="{00000000-0005-0000-0000-00005A000000}"/>
    <cellStyle name="どちらでもない" xfId="85" xr:uid="{00000000-0005-0000-0000-00005B000000}"/>
    <cellStyle name="メモ" xfId="86" xr:uid="{00000000-0005-0000-0000-00005C000000}"/>
    <cellStyle name="リンク セル" xfId="87" xr:uid="{00000000-0005-0000-0000-00005D000000}"/>
    <cellStyle name="เครื่องหมายจุลภาค 2" xfId="145" xr:uid="{00000000-0005-0000-0000-00005E000000}"/>
    <cellStyle name="เปอร์เซ็นต์ 4" xfId="139" xr:uid="{00000000-0005-0000-0000-00005F000000}"/>
    <cellStyle name="ปกติ 2" xfId="88" xr:uid="{00000000-0005-0000-0000-000060000000}"/>
    <cellStyle name="ปกติ 2 10" xfId="108" xr:uid="{00000000-0005-0000-0000-000061000000}"/>
    <cellStyle name="ปกติ 2 11" xfId="109" xr:uid="{00000000-0005-0000-0000-000062000000}"/>
    <cellStyle name="ปกติ 2 12" xfId="110" xr:uid="{00000000-0005-0000-0000-000063000000}"/>
    <cellStyle name="ปกติ 2 13" xfId="111" xr:uid="{00000000-0005-0000-0000-000064000000}"/>
    <cellStyle name="ปกติ 2 14" xfId="112" xr:uid="{00000000-0005-0000-0000-000065000000}"/>
    <cellStyle name="ปกติ 2 15" xfId="148" xr:uid="{00000000-0005-0000-0000-000066000000}"/>
    <cellStyle name="ปกติ 2 2" xfId="113" xr:uid="{00000000-0005-0000-0000-000067000000}"/>
    <cellStyle name="ปกติ 2 3" xfId="114" xr:uid="{00000000-0005-0000-0000-000068000000}"/>
    <cellStyle name="ปกติ 2 4" xfId="115" xr:uid="{00000000-0005-0000-0000-000069000000}"/>
    <cellStyle name="ปกติ 2 4 10" xfId="116" xr:uid="{00000000-0005-0000-0000-00006A000000}"/>
    <cellStyle name="ปกติ 2 4 2" xfId="117" xr:uid="{00000000-0005-0000-0000-00006B000000}"/>
    <cellStyle name="ปกติ 2 4 2 2" xfId="118" xr:uid="{00000000-0005-0000-0000-00006C000000}"/>
    <cellStyle name="ปกติ 2 4 3" xfId="119" xr:uid="{00000000-0005-0000-0000-00006D000000}"/>
    <cellStyle name="ปกติ 2 4 4" xfId="120" xr:uid="{00000000-0005-0000-0000-00006E000000}"/>
    <cellStyle name="ปกติ 2 4 5" xfId="121" xr:uid="{00000000-0005-0000-0000-00006F000000}"/>
    <cellStyle name="ปกติ 2 4 6" xfId="122" xr:uid="{00000000-0005-0000-0000-000070000000}"/>
    <cellStyle name="ปกติ 2 4 7" xfId="123" xr:uid="{00000000-0005-0000-0000-000071000000}"/>
    <cellStyle name="ปกติ 2 4 8" xfId="124" xr:uid="{00000000-0005-0000-0000-000072000000}"/>
    <cellStyle name="ปกติ 2 4 9" xfId="125" xr:uid="{00000000-0005-0000-0000-000073000000}"/>
    <cellStyle name="ปกติ 2 5" xfId="126" xr:uid="{00000000-0005-0000-0000-000074000000}"/>
    <cellStyle name="ปกติ 2 6" xfId="127" xr:uid="{00000000-0005-0000-0000-000075000000}"/>
    <cellStyle name="ปกติ 2 7" xfId="128" xr:uid="{00000000-0005-0000-0000-000076000000}"/>
    <cellStyle name="ปกติ 2 8" xfId="129" xr:uid="{00000000-0005-0000-0000-000077000000}"/>
    <cellStyle name="ปกติ 2 9" xfId="130" xr:uid="{00000000-0005-0000-0000-000078000000}"/>
    <cellStyle name="ปกติ 3" xfId="131" xr:uid="{00000000-0005-0000-0000-000079000000}"/>
    <cellStyle name="ปกติ 3 2" xfId="132" xr:uid="{00000000-0005-0000-0000-00007A000000}"/>
    <cellStyle name="ปกติ 3 3" xfId="133" xr:uid="{00000000-0005-0000-0000-00007B000000}"/>
    <cellStyle name="ปกติ 4 2" xfId="134" xr:uid="{00000000-0005-0000-0000-00007C000000}"/>
    <cellStyle name="ปกติ 4 3" xfId="135" xr:uid="{00000000-0005-0000-0000-00007D000000}"/>
    <cellStyle name="ปกติ 4 4" xfId="136" xr:uid="{00000000-0005-0000-0000-00007E000000}"/>
    <cellStyle name="ปกติ 5 2" xfId="137" xr:uid="{00000000-0005-0000-0000-00007F000000}"/>
    <cellStyle name="ปกติ 6" xfId="138" xr:uid="{00000000-0005-0000-0000-000080000000}"/>
    <cellStyle name="ปกติ_MTR-1 PKM30SPH20D0 HAKKO 1C metal" xfId="146" xr:uid="{00000000-0005-0000-0000-000081000000}"/>
    <cellStyle name="ปกติ_MTR-5 PP HAKKO&amp;N2 7SB" xfId="149" xr:uid="{00000000-0005-0000-0000-000082000000}"/>
    <cellStyle name="入力" xfId="89" xr:uid="{00000000-0005-0000-0000-000083000000}"/>
    <cellStyle name="出力" xfId="90" xr:uid="{00000000-0005-0000-0000-000084000000}"/>
    <cellStyle name="悪い" xfId="91" xr:uid="{00000000-0005-0000-0000-000085000000}"/>
    <cellStyle name="未定義" xfId="92" xr:uid="{00000000-0005-0000-0000-000086000000}"/>
    <cellStyle name="標準 2" xfId="1" xr:uid="{00000000-0005-0000-0000-000087000000}"/>
    <cellStyle name="爨ﾃﾗ靉ｧﾋﾁﾒﾂｨﾘﾅﾀﾒ､ [0]_NEGS" xfId="93" xr:uid="{00000000-0005-0000-0000-000088000000}"/>
    <cellStyle name="爨ﾃﾗ靉ｧﾋﾁﾒﾂｨﾘﾅﾀﾒ､_NEGS" xfId="94" xr:uid="{00000000-0005-0000-0000-000089000000}"/>
    <cellStyle name="爨ﾃﾗ靉ｧﾋﾁﾒﾂﾊ｡ﾘﾅ爰ﾔｹ [0]_NEGS" xfId="95" xr:uid="{00000000-0005-0000-0000-00008A000000}"/>
    <cellStyle name="爨ﾃﾗ靉ｧﾋﾁﾒﾂﾊ｡ﾘﾅ爰ﾔｹ_NEGS" xfId="96" xr:uid="{00000000-0005-0000-0000-00008B000000}"/>
    <cellStyle name="爼ﾗ靉ﾁ篦ｧﾋﾅﾒﾂﾁﾔｵﾔ" xfId="97" xr:uid="{00000000-0005-0000-0000-00008C000000}"/>
    <cellStyle name="良い" xfId="98" xr:uid="{00000000-0005-0000-0000-00008D000000}"/>
    <cellStyle name="見出し 1" xfId="99" xr:uid="{00000000-0005-0000-0000-00008E000000}"/>
    <cellStyle name="見出し 2" xfId="100" xr:uid="{00000000-0005-0000-0000-00008F000000}"/>
    <cellStyle name="見出し 3" xfId="101" xr:uid="{00000000-0005-0000-0000-000090000000}"/>
    <cellStyle name="見出し 4" xfId="102" xr:uid="{00000000-0005-0000-0000-000091000000}"/>
    <cellStyle name="計算" xfId="103" xr:uid="{00000000-0005-0000-0000-000092000000}"/>
    <cellStyle name="説明文" xfId="104" xr:uid="{00000000-0005-0000-0000-000093000000}"/>
    <cellStyle name="警告文" xfId="105" xr:uid="{00000000-0005-0000-0000-000094000000}"/>
    <cellStyle name="集計" xfId="106" xr:uid="{00000000-0005-0000-0000-00009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93818</xdr:colOff>
      <xdr:row>0</xdr:row>
      <xdr:rowOff>181897</xdr:rowOff>
    </xdr:from>
    <xdr:to>
      <xdr:col>19</xdr:col>
      <xdr:colOff>749587</xdr:colOff>
      <xdr:row>3</xdr:row>
      <xdr:rowOff>217397</xdr:rowOff>
    </xdr:to>
    <xdr:grpSp>
      <xdr:nvGrpSpPr>
        <xdr:cNvPr id="2" name="Group 1101">
          <a:extLst>
            <a:ext uri="{FF2B5EF4-FFF2-40B4-BE49-F238E27FC236}">
              <a16:creationId xmlns:a16="http://schemas.microsoft.com/office/drawing/2014/main" id="{4D631CD2-FCE0-4A81-BD5E-FA79F83B5338}"/>
            </a:ext>
          </a:extLst>
        </xdr:cNvPr>
        <xdr:cNvGrpSpPr>
          <a:grpSpLocks/>
        </xdr:cNvGrpSpPr>
      </xdr:nvGrpSpPr>
      <xdr:grpSpPr bwMode="auto">
        <a:xfrm>
          <a:off x="11360532" y="181897"/>
          <a:ext cx="655769" cy="625143"/>
          <a:chOff x="642" y="27"/>
          <a:chExt cx="61" cy="5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5A92FE8B-A3BF-4D0A-9C1D-88197F6B95D7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105F7AF-864A-430F-9D02-791F0EF99FD8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4F2540CA-94EA-4B6D-BA1B-47A08CE52629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6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6" name="Straight Connector 22">
            <a:extLst>
              <a:ext uri="{FF2B5EF4-FFF2-40B4-BE49-F238E27FC236}">
                <a16:creationId xmlns:a16="http://schemas.microsoft.com/office/drawing/2014/main" id="{50EB0FFD-42A9-4D55-97DF-EE404D6AF446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7" name="Straight Connector 34">
            <a:extLst>
              <a:ext uri="{FF2B5EF4-FFF2-40B4-BE49-F238E27FC236}">
                <a16:creationId xmlns:a16="http://schemas.microsoft.com/office/drawing/2014/main" id="{7ED1C282-A98E-4922-A334-48CC8830014E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18</xdr:col>
      <xdr:colOff>87978</xdr:colOff>
      <xdr:row>0</xdr:row>
      <xdr:rowOff>181898</xdr:rowOff>
    </xdr:from>
    <xdr:to>
      <xdr:col>18</xdr:col>
      <xdr:colOff>741526</xdr:colOff>
      <xdr:row>3</xdr:row>
      <xdr:rowOff>198663</xdr:rowOff>
    </xdr:to>
    <xdr:grpSp>
      <xdr:nvGrpSpPr>
        <xdr:cNvPr id="8" name="Group 1101">
          <a:extLst>
            <a:ext uri="{FF2B5EF4-FFF2-40B4-BE49-F238E27FC236}">
              <a16:creationId xmlns:a16="http://schemas.microsoft.com/office/drawing/2014/main" id="{50877367-7C11-4082-BE6C-4025370631B9}"/>
            </a:ext>
          </a:extLst>
        </xdr:cNvPr>
        <xdr:cNvGrpSpPr>
          <a:grpSpLocks/>
        </xdr:cNvGrpSpPr>
      </xdr:nvGrpSpPr>
      <xdr:grpSpPr bwMode="auto">
        <a:xfrm>
          <a:off x="10565478" y="181898"/>
          <a:ext cx="653548" cy="606408"/>
          <a:chOff x="642" y="26"/>
          <a:chExt cx="61" cy="52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BC1CCBD5-E108-4939-8793-850CDE333015}"/>
              </a:ext>
            </a:extLst>
          </xdr:cNvPr>
          <xdr:cNvSpPr>
            <a:spLocks noChangeArrowheads="1"/>
          </xdr:cNvSpPr>
        </xdr:nvSpPr>
        <xdr:spPr bwMode="auto">
          <a:xfrm>
            <a:off x="642" y="26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1E8D2157-FBBE-493C-8974-5F5A87C0F1F5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53DB1FD5-F7BF-423C-94E1-008E52140FF2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700" b="0" i="0" u="none" strike="noStrike" baseline="0">
                <a:solidFill>
                  <a:srgbClr val="FF0000"/>
                </a:solidFill>
                <a:latin typeface="Calibri"/>
              </a:rPr>
              <a:t>YAMAUCHI</a:t>
            </a:r>
          </a:p>
        </xdr:txBody>
      </xdr:sp>
      <xdr:cxnSp macro="">
        <xdr:nvCxnSpPr>
          <xdr:cNvPr id="12" name="Straight Connector 22">
            <a:extLst>
              <a:ext uri="{FF2B5EF4-FFF2-40B4-BE49-F238E27FC236}">
                <a16:creationId xmlns:a16="http://schemas.microsoft.com/office/drawing/2014/main" id="{49292C5D-7B3C-417C-A5D5-38F318F6B9C9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3" name="Straight Connector 34">
            <a:extLst>
              <a:ext uri="{FF2B5EF4-FFF2-40B4-BE49-F238E27FC236}">
                <a16:creationId xmlns:a16="http://schemas.microsoft.com/office/drawing/2014/main" id="{FA6666ED-46DA-43EA-9FFF-A28472C02DE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20</xdr:col>
      <xdr:colOff>160099</xdr:colOff>
      <xdr:row>1</xdr:row>
      <xdr:rowOff>1224</xdr:rowOff>
    </xdr:from>
    <xdr:to>
      <xdr:col>21</xdr:col>
      <xdr:colOff>235387</xdr:colOff>
      <xdr:row>3</xdr:row>
      <xdr:rowOff>199326</xdr:rowOff>
    </xdr:to>
    <xdr:grpSp>
      <xdr:nvGrpSpPr>
        <xdr:cNvPr id="14" name="Group 40">
          <a:extLst>
            <a:ext uri="{FF2B5EF4-FFF2-40B4-BE49-F238E27FC236}">
              <a16:creationId xmlns:a16="http://schemas.microsoft.com/office/drawing/2014/main" id="{95E41CE1-28BE-47AB-8BF0-90DD70B51C4A}"/>
            </a:ext>
          </a:extLst>
        </xdr:cNvPr>
        <xdr:cNvGrpSpPr>
          <a:grpSpLocks/>
        </xdr:cNvGrpSpPr>
      </xdr:nvGrpSpPr>
      <xdr:grpSpPr bwMode="auto">
        <a:xfrm>
          <a:off x="12216028" y="228010"/>
          <a:ext cx="583288" cy="560959"/>
          <a:chOff x="6457860" y="249201"/>
          <a:chExt cx="575555" cy="495187"/>
        </a:xfrm>
      </xdr:grpSpPr>
      <xdr:sp macro="" textlink="">
        <xdr:nvSpPr>
          <xdr:cNvPr id="15" name="Oval 35">
            <a:extLst>
              <a:ext uri="{FF2B5EF4-FFF2-40B4-BE49-F238E27FC236}">
                <a16:creationId xmlns:a16="http://schemas.microsoft.com/office/drawing/2014/main" id="{7B82CA50-B2AF-4CB7-9DC1-AF2898D200CA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84986524-DC5A-4E13-9306-443DBCFF6F02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B927AD01-6B04-4BF1-A52D-BA27142BDDEC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8" name="Straight Connector 38">
            <a:extLst>
              <a:ext uri="{FF2B5EF4-FFF2-40B4-BE49-F238E27FC236}">
                <a16:creationId xmlns:a16="http://schemas.microsoft.com/office/drawing/2014/main" id="{475300A4-E71D-4B2A-B4F8-74DD1E6BD03F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9" name="Straight Connector 39">
            <a:extLst>
              <a:ext uri="{FF2B5EF4-FFF2-40B4-BE49-F238E27FC236}">
                <a16:creationId xmlns:a16="http://schemas.microsoft.com/office/drawing/2014/main" id="{5CD7F604-20D6-471C-B120-2EBDE6E2DBDB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oneCell">
    <xdr:from>
      <xdr:col>1</xdr:col>
      <xdr:colOff>163196</xdr:colOff>
      <xdr:row>0</xdr:row>
      <xdr:rowOff>132080</xdr:rowOff>
    </xdr:from>
    <xdr:to>
      <xdr:col>2</xdr:col>
      <xdr:colOff>525781</xdr:colOff>
      <xdr:row>2</xdr:row>
      <xdr:rowOff>130807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31310E7-1A38-4CCC-8591-D66F2A5C6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625" y="132080"/>
          <a:ext cx="947692" cy="4005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418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24"/>
  </cols>
  <sheetData>
    <row r="1" spans="1:3">
      <c r="A1" s="16">
        <v>1</v>
      </c>
      <c r="B1" s="25" t="s">
        <v>468</v>
      </c>
      <c r="C1" s="16" t="s">
        <v>5</v>
      </c>
    </row>
    <row r="2" spans="1:3">
      <c r="A2" s="16">
        <v>2</v>
      </c>
      <c r="B2" s="25" t="s">
        <v>469</v>
      </c>
      <c r="C2" s="16" t="s">
        <v>6</v>
      </c>
    </row>
    <row r="3" spans="1:3">
      <c r="A3" s="16">
        <v>3</v>
      </c>
      <c r="B3" s="25" t="s">
        <v>470</v>
      </c>
      <c r="C3" s="16" t="s">
        <v>7</v>
      </c>
    </row>
    <row r="4" spans="1:3">
      <c r="A4" s="16">
        <v>4</v>
      </c>
      <c r="B4" s="25" t="s">
        <v>471</v>
      </c>
      <c r="C4" s="16" t="s">
        <v>52</v>
      </c>
    </row>
    <row r="5" spans="1:3">
      <c r="A5" s="16">
        <v>5</v>
      </c>
      <c r="B5" s="25" t="s">
        <v>472</v>
      </c>
      <c r="C5" s="16" t="s">
        <v>8</v>
      </c>
    </row>
    <row r="6" spans="1:3">
      <c r="A6" s="16">
        <v>6</v>
      </c>
      <c r="B6" s="25" t="s">
        <v>473</v>
      </c>
      <c r="C6" s="16" t="s">
        <v>9</v>
      </c>
    </row>
    <row r="7" spans="1:3">
      <c r="A7" s="16">
        <v>7</v>
      </c>
      <c r="B7" s="25" t="s">
        <v>474</v>
      </c>
      <c r="C7" s="16" t="s">
        <v>10</v>
      </c>
    </row>
    <row r="8" spans="1:3">
      <c r="A8" s="16">
        <v>8</v>
      </c>
      <c r="B8" s="25" t="s">
        <v>475</v>
      </c>
      <c r="C8" s="16" t="s">
        <v>11</v>
      </c>
    </row>
    <row r="9" spans="1:3">
      <c r="A9" s="16">
        <v>9</v>
      </c>
      <c r="B9" s="25" t="s">
        <v>476</v>
      </c>
      <c r="C9" s="16" t="s">
        <v>0</v>
      </c>
    </row>
    <row r="10" spans="1:3">
      <c r="A10" s="16">
        <v>10</v>
      </c>
      <c r="B10" s="25" t="s">
        <v>477</v>
      </c>
      <c r="C10" s="16" t="s">
        <v>12</v>
      </c>
    </row>
    <row r="11" spans="1:3">
      <c r="A11" s="16">
        <v>11</v>
      </c>
      <c r="B11" s="25" t="s">
        <v>478</v>
      </c>
      <c r="C11" s="16" t="s">
        <v>13</v>
      </c>
    </row>
    <row r="12" spans="1:3">
      <c r="A12" s="16">
        <v>12</v>
      </c>
      <c r="B12" s="25" t="s">
        <v>479</v>
      </c>
      <c r="C12" s="16" t="s">
        <v>14</v>
      </c>
    </row>
    <row r="13" spans="1:3">
      <c r="A13" s="16">
        <v>13</v>
      </c>
      <c r="B13" s="25" t="s">
        <v>480</v>
      </c>
      <c r="C13" s="16" t="s">
        <v>53</v>
      </c>
    </row>
    <row r="14" spans="1:3">
      <c r="A14" s="16">
        <v>14</v>
      </c>
      <c r="B14" s="25" t="s">
        <v>481</v>
      </c>
      <c r="C14" s="16" t="s">
        <v>54</v>
      </c>
    </row>
    <row r="15" spans="1:3">
      <c r="A15" s="16">
        <v>15</v>
      </c>
      <c r="B15" s="25" t="s">
        <v>482</v>
      </c>
      <c r="C15" s="16" t="s">
        <v>407</v>
      </c>
    </row>
    <row r="16" spans="1:3">
      <c r="A16" s="16">
        <v>16</v>
      </c>
      <c r="B16" s="27" t="s">
        <v>466</v>
      </c>
      <c r="C16" s="16" t="s">
        <v>55</v>
      </c>
    </row>
    <row r="17" spans="1:3">
      <c r="A17" s="16">
        <v>17</v>
      </c>
      <c r="B17" s="27"/>
      <c r="C17" s="16" t="s">
        <v>20</v>
      </c>
    </row>
    <row r="18" spans="1:3">
      <c r="A18" s="16">
        <v>18</v>
      </c>
      <c r="B18" s="28" t="s">
        <v>466</v>
      </c>
      <c r="C18" s="16" t="s">
        <v>21</v>
      </c>
    </row>
    <row r="19" spans="1:3">
      <c r="A19" s="16">
        <v>19</v>
      </c>
      <c r="B19" s="28"/>
      <c r="C19" s="16" t="s">
        <v>49</v>
      </c>
    </row>
    <row r="20" spans="1:3">
      <c r="A20" s="16">
        <v>20</v>
      </c>
      <c r="B20" s="28"/>
      <c r="C20" s="16" t="s">
        <v>50</v>
      </c>
    </row>
    <row r="21" spans="1:3">
      <c r="A21" s="17">
        <v>21</v>
      </c>
      <c r="B21" s="29" t="e">
        <v>#VALUE!</v>
      </c>
      <c r="C21" s="17" t="s">
        <v>22</v>
      </c>
    </row>
    <row r="22" spans="1:3">
      <c r="A22" s="15">
        <v>22</v>
      </c>
      <c r="B22" s="26" t="e">
        <v>#VALUE!</v>
      </c>
      <c r="C22" s="15" t="s">
        <v>23</v>
      </c>
    </row>
    <row r="23" spans="1:3">
      <c r="A23" s="15">
        <v>23</v>
      </c>
      <c r="B23" s="26" t="s">
        <v>483</v>
      </c>
      <c r="C23" s="15" t="s">
        <v>24</v>
      </c>
    </row>
    <row r="24" spans="1:3">
      <c r="A24" s="15">
        <v>24</v>
      </c>
      <c r="B24" s="26" t="s">
        <v>483</v>
      </c>
      <c r="C24" s="15" t="s">
        <v>46</v>
      </c>
    </row>
    <row r="25" spans="1:3">
      <c r="A25" s="15">
        <v>25</v>
      </c>
      <c r="B25" s="26" t="s">
        <v>483</v>
      </c>
      <c r="C25" s="15" t="s">
        <v>47</v>
      </c>
    </row>
    <row r="26" spans="1:3">
      <c r="A26" s="15">
        <v>26</v>
      </c>
      <c r="B26" s="26" t="s">
        <v>483</v>
      </c>
      <c r="C26" s="15" t="s">
        <v>48</v>
      </c>
    </row>
    <row r="27" spans="1:3">
      <c r="A27" s="15">
        <v>27</v>
      </c>
      <c r="B27" s="26" t="s">
        <v>483</v>
      </c>
      <c r="C27" s="15" t="s">
        <v>20</v>
      </c>
    </row>
    <row r="28" spans="1:3">
      <c r="A28" s="15">
        <v>28</v>
      </c>
      <c r="B28" s="26" t="s">
        <v>483</v>
      </c>
      <c r="C28" s="15" t="s">
        <v>21</v>
      </c>
    </row>
    <row r="29" spans="1:3">
      <c r="A29" s="15">
        <v>29</v>
      </c>
      <c r="B29" s="26" t="s">
        <v>483</v>
      </c>
      <c r="C29" s="15" t="s">
        <v>49</v>
      </c>
    </row>
    <row r="30" spans="1:3">
      <c r="A30" s="15">
        <v>30</v>
      </c>
      <c r="B30" s="26" t="s">
        <v>483</v>
      </c>
      <c r="C30" s="15" t="s">
        <v>50</v>
      </c>
    </row>
    <row r="31" spans="1:3">
      <c r="A31" s="18">
        <v>31</v>
      </c>
      <c r="B31" s="19">
        <v>99.7</v>
      </c>
      <c r="C31" s="18" t="s">
        <v>36</v>
      </c>
    </row>
    <row r="32" spans="1:3">
      <c r="A32" s="20">
        <v>32</v>
      </c>
      <c r="B32" s="21">
        <v>100.5</v>
      </c>
      <c r="C32" s="20" t="s">
        <v>37</v>
      </c>
    </row>
    <row r="33" spans="1:3">
      <c r="A33" s="20">
        <v>33</v>
      </c>
      <c r="B33" s="21">
        <v>100.2</v>
      </c>
      <c r="C33" s="20" t="s">
        <v>38</v>
      </c>
    </row>
    <row r="34" spans="1:3">
      <c r="A34" s="20">
        <v>34</v>
      </c>
      <c r="B34" s="21">
        <v>100.2</v>
      </c>
      <c r="C34" s="20" t="s">
        <v>39</v>
      </c>
    </row>
    <row r="35" spans="1:3">
      <c r="A35" s="20">
        <v>35</v>
      </c>
      <c r="B35" s="21">
        <v>100.5</v>
      </c>
      <c r="C35" s="20" t="s">
        <v>40</v>
      </c>
    </row>
    <row r="36" spans="1:3">
      <c r="A36" s="20">
        <v>36</v>
      </c>
      <c r="B36" s="21">
        <v>100</v>
      </c>
      <c r="C36" s="20" t="s">
        <v>41</v>
      </c>
    </row>
    <row r="37" spans="1:3">
      <c r="A37" s="20">
        <v>37</v>
      </c>
      <c r="B37" s="21">
        <v>100.2</v>
      </c>
      <c r="C37" s="20" t="s">
        <v>42</v>
      </c>
    </row>
    <row r="38" spans="1:3">
      <c r="A38" s="20">
        <v>38</v>
      </c>
      <c r="B38" s="21">
        <v>100.2</v>
      </c>
      <c r="C38" s="20" t="s">
        <v>43</v>
      </c>
    </row>
    <row r="39" spans="1:3">
      <c r="A39" s="20">
        <v>39</v>
      </c>
      <c r="B39" s="21">
        <v>100.4</v>
      </c>
      <c r="C39" s="20" t="s">
        <v>44</v>
      </c>
    </row>
    <row r="40" spans="1:3">
      <c r="A40" s="20">
        <v>40</v>
      </c>
      <c r="B40" s="21">
        <v>99.8</v>
      </c>
      <c r="C40" s="20" t="s">
        <v>45</v>
      </c>
    </row>
    <row r="41" spans="1:3">
      <c r="A41" s="20">
        <v>41</v>
      </c>
      <c r="B41" s="21">
        <v>32</v>
      </c>
      <c r="C41" s="20" t="s">
        <v>237</v>
      </c>
    </row>
    <row r="42" spans="1:3">
      <c r="A42" s="20">
        <v>42</v>
      </c>
      <c r="B42" s="21" t="s">
        <v>484</v>
      </c>
      <c r="C42" s="20" t="s">
        <v>20</v>
      </c>
    </row>
    <row r="43" spans="1:3">
      <c r="A43" s="20">
        <v>43</v>
      </c>
      <c r="B43" s="21" t="s">
        <v>485</v>
      </c>
      <c r="C43" s="20" t="s">
        <v>21</v>
      </c>
    </row>
    <row r="44" spans="1:3">
      <c r="A44" s="20">
        <v>44</v>
      </c>
      <c r="B44" s="21" t="s">
        <v>486</v>
      </c>
      <c r="C44" s="20" t="s">
        <v>49</v>
      </c>
    </row>
    <row r="45" spans="1:3">
      <c r="A45" s="20">
        <v>45</v>
      </c>
      <c r="B45" s="21"/>
      <c r="C45" s="20" t="s">
        <v>50</v>
      </c>
    </row>
    <row r="46" spans="1:3">
      <c r="A46" s="20">
        <v>46</v>
      </c>
      <c r="B46" s="21"/>
      <c r="C46" s="20" t="s">
        <v>51</v>
      </c>
    </row>
    <row r="47" spans="1:3">
      <c r="A47" s="20">
        <v>47</v>
      </c>
      <c r="B47" s="21"/>
      <c r="C47" s="20" t="s">
        <v>238</v>
      </c>
    </row>
    <row r="48" spans="1:3">
      <c r="A48" s="20">
        <v>48</v>
      </c>
      <c r="B48" s="21"/>
      <c r="C48" s="20" t="s">
        <v>239</v>
      </c>
    </row>
    <row r="49" spans="1:3">
      <c r="A49" s="20">
        <v>49</v>
      </c>
      <c r="B49" s="21"/>
      <c r="C49" s="20" t="s">
        <v>240</v>
      </c>
    </row>
    <row r="50" spans="1:3">
      <c r="A50" s="22">
        <v>50</v>
      </c>
      <c r="B50" s="23"/>
      <c r="C50" s="22" t="s">
        <v>241</v>
      </c>
    </row>
    <row r="51" spans="1:3">
      <c r="A51" s="18">
        <v>51</v>
      </c>
      <c r="B51" s="19">
        <v>1256.44</v>
      </c>
      <c r="C51" s="18" t="s">
        <v>36</v>
      </c>
    </row>
    <row r="52" spans="1:3">
      <c r="A52" s="20">
        <v>52</v>
      </c>
      <c r="B52" s="21">
        <v>1208.31</v>
      </c>
      <c r="C52" s="20" t="s">
        <v>37</v>
      </c>
    </row>
    <row r="53" spans="1:3">
      <c r="A53" s="20">
        <v>53</v>
      </c>
      <c r="B53" s="21">
        <v>1061.3399999999999</v>
      </c>
      <c r="C53" s="20" t="s">
        <v>38</v>
      </c>
    </row>
    <row r="54" spans="1:3">
      <c r="A54" s="20">
        <v>54</v>
      </c>
      <c r="B54" s="21">
        <v>1139.2</v>
      </c>
      <c r="C54" s="20" t="s">
        <v>39</v>
      </c>
    </row>
    <row r="55" spans="1:3">
      <c r="A55" s="20">
        <v>55</v>
      </c>
      <c r="B55" s="21">
        <v>1113.03</v>
      </c>
      <c r="C55" s="20" t="s">
        <v>40</v>
      </c>
    </row>
    <row r="56" spans="1:3">
      <c r="A56" s="20">
        <v>56</v>
      </c>
      <c r="B56" s="21">
        <v>1078.77</v>
      </c>
      <c r="C56" s="20" t="s">
        <v>41</v>
      </c>
    </row>
    <row r="57" spans="1:3">
      <c r="A57" s="20">
        <v>57</v>
      </c>
      <c r="B57" s="21">
        <v>1093.8800000000001</v>
      </c>
      <c r="C57" s="20" t="s">
        <v>42</v>
      </c>
    </row>
    <row r="58" spans="1:3">
      <c r="A58" s="20">
        <v>58</v>
      </c>
      <c r="B58" s="21">
        <v>1110.98</v>
      </c>
      <c r="C58" s="20" t="s">
        <v>43</v>
      </c>
    </row>
    <row r="59" spans="1:3">
      <c r="A59" s="20">
        <v>59</v>
      </c>
      <c r="B59" s="21">
        <v>1066.3499999999999</v>
      </c>
      <c r="C59" s="20" t="s">
        <v>44</v>
      </c>
    </row>
    <row r="60" spans="1:3">
      <c r="A60" s="20">
        <v>60</v>
      </c>
      <c r="B60" s="21">
        <v>1394.42</v>
      </c>
      <c r="C60" s="20" t="s">
        <v>45</v>
      </c>
    </row>
    <row r="61" spans="1:3">
      <c r="A61" s="20">
        <v>61</v>
      </c>
      <c r="B61" s="21">
        <v>10</v>
      </c>
      <c r="C61" s="20" t="s">
        <v>237</v>
      </c>
    </row>
    <row r="62" spans="1:3">
      <c r="A62" s="20">
        <v>62</v>
      </c>
      <c r="B62" s="21" t="s">
        <v>487</v>
      </c>
      <c r="C62" s="20" t="s">
        <v>20</v>
      </c>
    </row>
    <row r="63" spans="1:3">
      <c r="A63" s="20">
        <v>63</v>
      </c>
      <c r="B63" s="21" t="s">
        <v>488</v>
      </c>
      <c r="C63" s="20" t="s">
        <v>21</v>
      </c>
    </row>
    <row r="64" spans="1:3">
      <c r="A64" s="20">
        <v>64</v>
      </c>
      <c r="B64" s="21" t="s">
        <v>489</v>
      </c>
      <c r="C64" s="20" t="s">
        <v>49</v>
      </c>
    </row>
    <row r="65" spans="1:3">
      <c r="A65" s="20">
        <v>65</v>
      </c>
      <c r="B65" s="21"/>
      <c r="C65" s="20" t="s">
        <v>50</v>
      </c>
    </row>
    <row r="66" spans="1:3">
      <c r="A66" s="20">
        <v>66</v>
      </c>
      <c r="B66" s="21"/>
      <c r="C66" s="20" t="s">
        <v>51</v>
      </c>
    </row>
    <row r="67" spans="1:3">
      <c r="A67" s="20">
        <v>67</v>
      </c>
      <c r="B67" s="21"/>
      <c r="C67" s="20" t="s">
        <v>238</v>
      </c>
    </row>
    <row r="68" spans="1:3">
      <c r="A68" s="20">
        <v>68</v>
      </c>
      <c r="B68" s="21"/>
      <c r="C68" s="20" t="s">
        <v>239</v>
      </c>
    </row>
    <row r="69" spans="1:3">
      <c r="A69" s="20">
        <v>69</v>
      </c>
      <c r="B69" s="21"/>
      <c r="C69" s="20" t="s">
        <v>240</v>
      </c>
    </row>
    <row r="70" spans="1:3">
      <c r="A70" s="22">
        <v>70</v>
      </c>
      <c r="B70" s="23"/>
      <c r="C70" s="22" t="s">
        <v>241</v>
      </c>
    </row>
    <row r="71" spans="1:3">
      <c r="A71" s="18">
        <v>71</v>
      </c>
      <c r="B71" s="19">
        <v>17.928999999999998</v>
      </c>
      <c r="C71" s="18" t="s">
        <v>36</v>
      </c>
    </row>
    <row r="72" spans="1:3">
      <c r="A72" s="20">
        <v>72</v>
      </c>
      <c r="B72" s="21">
        <v>17.878</v>
      </c>
      <c r="C72" s="20" t="s">
        <v>37</v>
      </c>
    </row>
    <row r="73" spans="1:3">
      <c r="A73" s="20">
        <v>73</v>
      </c>
      <c r="B73" s="21">
        <v>17.873000000000001</v>
      </c>
      <c r="C73" s="20" t="s">
        <v>38</v>
      </c>
    </row>
    <row r="74" spans="1:3">
      <c r="A74" s="20">
        <v>74</v>
      </c>
      <c r="B74" s="21">
        <v>17.870999999999999</v>
      </c>
      <c r="C74" s="20" t="s">
        <v>39</v>
      </c>
    </row>
    <row r="75" spans="1:3">
      <c r="A75" s="20">
        <v>75</v>
      </c>
      <c r="B75" s="21">
        <v>17.875</v>
      </c>
      <c r="C75" s="20" t="s">
        <v>40</v>
      </c>
    </row>
    <row r="76" spans="1:3">
      <c r="A76" s="20">
        <v>76</v>
      </c>
      <c r="B76" s="21">
        <v>17.875</v>
      </c>
      <c r="C76" s="20" t="s">
        <v>41</v>
      </c>
    </row>
    <row r="77" spans="1:3">
      <c r="A77" s="20">
        <v>77</v>
      </c>
      <c r="B77" s="21">
        <v>17.863</v>
      </c>
      <c r="C77" s="20" t="s">
        <v>42</v>
      </c>
    </row>
    <row r="78" spans="1:3">
      <c r="A78" s="20">
        <v>78</v>
      </c>
      <c r="B78" s="21">
        <v>17.875</v>
      </c>
      <c r="C78" s="20" t="s">
        <v>43</v>
      </c>
    </row>
    <row r="79" spans="1:3">
      <c r="A79" s="20">
        <v>79</v>
      </c>
      <c r="B79" s="21">
        <v>17.917999999999999</v>
      </c>
      <c r="C79" s="20" t="s">
        <v>44</v>
      </c>
    </row>
    <row r="80" spans="1:3">
      <c r="A80" s="20">
        <v>80</v>
      </c>
      <c r="B80" s="21">
        <v>17.879000000000001</v>
      </c>
      <c r="C80" s="20" t="s">
        <v>45</v>
      </c>
    </row>
    <row r="81" spans="1:3">
      <c r="A81" s="20">
        <v>81</v>
      </c>
      <c r="B81" s="21">
        <v>10</v>
      </c>
      <c r="C81" s="20" t="s">
        <v>237</v>
      </c>
    </row>
    <row r="82" spans="1:3">
      <c r="A82" s="20">
        <v>82</v>
      </c>
      <c r="B82" s="21" t="s">
        <v>490</v>
      </c>
      <c r="C82" s="20" t="s">
        <v>20</v>
      </c>
    </row>
    <row r="83" spans="1:3">
      <c r="A83" s="20">
        <v>83</v>
      </c>
      <c r="B83" s="21" t="s">
        <v>491</v>
      </c>
      <c r="C83" s="20" t="s">
        <v>21</v>
      </c>
    </row>
    <row r="84" spans="1:3">
      <c r="A84" s="20">
        <v>84</v>
      </c>
      <c r="B84" s="21" t="s">
        <v>492</v>
      </c>
      <c r="C84" s="20" t="s">
        <v>49</v>
      </c>
    </row>
    <row r="85" spans="1:3">
      <c r="A85" s="20">
        <v>85</v>
      </c>
      <c r="B85" s="21"/>
      <c r="C85" s="20" t="s">
        <v>50</v>
      </c>
    </row>
    <row r="86" spans="1:3">
      <c r="A86" s="20">
        <v>86</v>
      </c>
      <c r="B86" s="21"/>
      <c r="C86" s="20" t="s">
        <v>51</v>
      </c>
    </row>
    <row r="87" spans="1:3">
      <c r="A87" s="20">
        <v>87</v>
      </c>
      <c r="B87" s="21"/>
      <c r="C87" s="20" t="s">
        <v>238</v>
      </c>
    </row>
    <row r="88" spans="1:3">
      <c r="A88" s="20">
        <v>88</v>
      </c>
      <c r="B88" s="21"/>
      <c r="C88" s="20" t="s">
        <v>239</v>
      </c>
    </row>
    <row r="89" spans="1:3">
      <c r="A89" s="20">
        <v>89</v>
      </c>
      <c r="B89" s="21"/>
      <c r="C89" s="20" t="s">
        <v>240</v>
      </c>
    </row>
    <row r="90" spans="1:3">
      <c r="A90" s="22">
        <v>90</v>
      </c>
      <c r="B90" s="23"/>
      <c r="C90" s="22" t="s">
        <v>241</v>
      </c>
    </row>
    <row r="91" spans="1:3">
      <c r="A91" s="18">
        <v>91</v>
      </c>
      <c r="B91" s="19">
        <v>18.038</v>
      </c>
      <c r="C91" s="18" t="s">
        <v>36</v>
      </c>
    </row>
    <row r="92" spans="1:3">
      <c r="A92" s="20">
        <v>92</v>
      </c>
      <c r="B92" s="21">
        <v>18.067</v>
      </c>
      <c r="C92" s="20" t="s">
        <v>37</v>
      </c>
    </row>
    <row r="93" spans="1:3">
      <c r="A93" s="20">
        <v>93</v>
      </c>
      <c r="B93" s="21">
        <v>18.050999999999998</v>
      </c>
      <c r="C93" s="20" t="s">
        <v>38</v>
      </c>
    </row>
    <row r="94" spans="1:3">
      <c r="A94" s="20">
        <v>94</v>
      </c>
      <c r="B94" s="21">
        <v>18.003</v>
      </c>
      <c r="C94" s="20" t="s">
        <v>39</v>
      </c>
    </row>
    <row r="95" spans="1:3">
      <c r="A95" s="20">
        <v>95</v>
      </c>
      <c r="B95" s="21">
        <v>18.045999999999999</v>
      </c>
      <c r="C95" s="20" t="s">
        <v>40</v>
      </c>
    </row>
    <row r="96" spans="1:3">
      <c r="A96" s="20">
        <v>96</v>
      </c>
      <c r="B96" s="21">
        <v>18.048999999999999</v>
      </c>
      <c r="C96" s="20" t="s">
        <v>41</v>
      </c>
    </row>
    <row r="97" spans="1:3">
      <c r="A97" s="20">
        <v>97</v>
      </c>
      <c r="B97" s="21">
        <v>18.047999999999998</v>
      </c>
      <c r="C97" s="20" t="s">
        <v>42</v>
      </c>
    </row>
    <row r="98" spans="1:3">
      <c r="A98" s="20">
        <v>98</v>
      </c>
      <c r="B98" s="21">
        <v>18.068000000000001</v>
      </c>
      <c r="C98" s="20" t="s">
        <v>43</v>
      </c>
    </row>
    <row r="99" spans="1:3">
      <c r="A99" s="20">
        <v>99</v>
      </c>
      <c r="B99" s="21">
        <v>18.050999999999998</v>
      </c>
      <c r="C99" s="20" t="s">
        <v>44</v>
      </c>
    </row>
    <row r="100" spans="1:3">
      <c r="A100" s="20">
        <v>100</v>
      </c>
      <c r="B100" s="21">
        <v>18.007999999999999</v>
      </c>
      <c r="C100" s="20" t="s">
        <v>45</v>
      </c>
    </row>
    <row r="101" spans="1:3">
      <c r="A101" s="20">
        <v>101</v>
      </c>
      <c r="B101" s="21">
        <v>10</v>
      </c>
      <c r="C101" s="20" t="s">
        <v>237</v>
      </c>
    </row>
    <row r="102" spans="1:3">
      <c r="A102" s="20">
        <v>102</v>
      </c>
      <c r="B102" s="21" t="s">
        <v>493</v>
      </c>
      <c r="C102" s="20" t="s">
        <v>20</v>
      </c>
    </row>
    <row r="103" spans="1:3">
      <c r="A103" s="20">
        <v>103</v>
      </c>
      <c r="B103" s="21" t="s">
        <v>491</v>
      </c>
      <c r="C103" s="20" t="s">
        <v>21</v>
      </c>
    </row>
    <row r="104" spans="1:3">
      <c r="A104" s="20">
        <v>104</v>
      </c>
      <c r="B104" s="21" t="s">
        <v>492</v>
      </c>
      <c r="C104" s="20" t="s">
        <v>49</v>
      </c>
    </row>
    <row r="105" spans="1:3">
      <c r="A105" s="20">
        <v>105</v>
      </c>
      <c r="B105" s="21"/>
      <c r="C105" s="20" t="s">
        <v>50</v>
      </c>
    </row>
    <row r="106" spans="1:3">
      <c r="A106" s="20">
        <v>106</v>
      </c>
      <c r="B106" s="21"/>
      <c r="C106" s="20" t="s">
        <v>51</v>
      </c>
    </row>
    <row r="107" spans="1:3">
      <c r="A107" s="20">
        <v>107</v>
      </c>
      <c r="B107" s="21"/>
      <c r="C107" s="20" t="s">
        <v>238</v>
      </c>
    </row>
    <row r="108" spans="1:3">
      <c r="A108" s="20">
        <v>108</v>
      </c>
      <c r="B108" s="21"/>
      <c r="C108" s="20" t="s">
        <v>239</v>
      </c>
    </row>
    <row r="109" spans="1:3">
      <c r="A109" s="20">
        <v>109</v>
      </c>
      <c r="B109" s="21"/>
      <c r="C109" s="20" t="s">
        <v>240</v>
      </c>
    </row>
    <row r="110" spans="1:3">
      <c r="A110" s="22">
        <v>110</v>
      </c>
      <c r="B110" s="23"/>
      <c r="C110" s="22" t="s">
        <v>241</v>
      </c>
    </row>
    <row r="111" spans="1:3">
      <c r="A111" s="18">
        <v>111</v>
      </c>
      <c r="B111" s="19">
        <v>7.8739999999999997</v>
      </c>
      <c r="C111" s="18" t="s">
        <v>36</v>
      </c>
    </row>
    <row r="112" spans="1:3">
      <c r="A112" s="20">
        <v>112</v>
      </c>
      <c r="B112" s="21">
        <v>7.859</v>
      </c>
      <c r="C112" s="20" t="s">
        <v>37</v>
      </c>
    </row>
    <row r="113" spans="1:3">
      <c r="A113" s="20">
        <v>113</v>
      </c>
      <c r="B113" s="21">
        <v>7.8470000000000004</v>
      </c>
      <c r="C113" s="20" t="s">
        <v>38</v>
      </c>
    </row>
    <row r="114" spans="1:3">
      <c r="A114" s="20">
        <v>114</v>
      </c>
      <c r="B114" s="21">
        <v>7.8380000000000001</v>
      </c>
      <c r="C114" s="20" t="s">
        <v>39</v>
      </c>
    </row>
    <row r="115" spans="1:3">
      <c r="A115" s="20">
        <v>115</v>
      </c>
      <c r="B115" s="21">
        <v>7.84</v>
      </c>
      <c r="C115" s="20" t="s">
        <v>40</v>
      </c>
    </row>
    <row r="116" spans="1:3">
      <c r="A116" s="20">
        <v>116</v>
      </c>
      <c r="B116" s="21">
        <v>7.83</v>
      </c>
      <c r="C116" s="20" t="s">
        <v>41</v>
      </c>
    </row>
    <row r="117" spans="1:3">
      <c r="A117" s="20">
        <v>117</v>
      </c>
      <c r="B117" s="21">
        <v>7.8440000000000003</v>
      </c>
      <c r="C117" s="20" t="s">
        <v>42</v>
      </c>
    </row>
    <row r="118" spans="1:3">
      <c r="A118" s="20">
        <v>118</v>
      </c>
      <c r="B118" s="21">
        <v>7.8789999999999996</v>
      </c>
      <c r="C118" s="20" t="s">
        <v>43</v>
      </c>
    </row>
    <row r="119" spans="1:3">
      <c r="A119" s="20">
        <v>119</v>
      </c>
      <c r="B119" s="21">
        <v>7.8520000000000003</v>
      </c>
      <c r="C119" s="20" t="s">
        <v>44</v>
      </c>
    </row>
    <row r="120" spans="1:3">
      <c r="A120" s="20">
        <v>120</v>
      </c>
      <c r="B120" s="21">
        <v>7.8540000000000001</v>
      </c>
      <c r="C120" s="20" t="s">
        <v>45</v>
      </c>
    </row>
    <row r="121" spans="1:3">
      <c r="A121" s="20">
        <v>121</v>
      </c>
      <c r="B121" s="21">
        <v>10</v>
      </c>
      <c r="C121" s="20" t="s">
        <v>237</v>
      </c>
    </row>
    <row r="122" spans="1:3">
      <c r="A122" s="20">
        <v>122</v>
      </c>
      <c r="B122" s="21" t="s">
        <v>494</v>
      </c>
      <c r="C122" s="20" t="s">
        <v>20</v>
      </c>
    </row>
    <row r="123" spans="1:3">
      <c r="A123" s="20">
        <v>123</v>
      </c>
      <c r="B123" s="21" t="s">
        <v>495</v>
      </c>
      <c r="C123" s="20" t="s">
        <v>21</v>
      </c>
    </row>
    <row r="124" spans="1:3">
      <c r="A124" s="20">
        <v>124</v>
      </c>
      <c r="B124" s="21" t="s">
        <v>496</v>
      </c>
      <c r="C124" s="20" t="s">
        <v>49</v>
      </c>
    </row>
    <row r="125" spans="1:3">
      <c r="A125" s="20">
        <v>125</v>
      </c>
      <c r="B125" s="21"/>
      <c r="C125" s="20" t="s">
        <v>50</v>
      </c>
    </row>
    <row r="126" spans="1:3">
      <c r="A126" s="20">
        <v>126</v>
      </c>
      <c r="B126" s="21"/>
      <c r="C126" s="20" t="s">
        <v>51</v>
      </c>
    </row>
    <row r="127" spans="1:3">
      <c r="A127" s="20">
        <v>127</v>
      </c>
      <c r="B127" s="21"/>
      <c r="C127" s="20" t="s">
        <v>238</v>
      </c>
    </row>
    <row r="128" spans="1:3">
      <c r="A128" s="20">
        <v>128</v>
      </c>
      <c r="B128" s="21"/>
      <c r="C128" s="20" t="s">
        <v>239</v>
      </c>
    </row>
    <row r="129" spans="1:3">
      <c r="A129" s="20">
        <v>129</v>
      </c>
      <c r="B129" s="21"/>
      <c r="C129" s="20" t="s">
        <v>240</v>
      </c>
    </row>
    <row r="130" spans="1:3">
      <c r="A130" s="22">
        <v>130</v>
      </c>
      <c r="B130" s="23"/>
      <c r="C130" s="22" t="s">
        <v>241</v>
      </c>
    </row>
    <row r="131" spans="1:3">
      <c r="A131" s="18">
        <v>131</v>
      </c>
      <c r="B131" s="19">
        <v>0.86299999999999999</v>
      </c>
      <c r="C131" s="18" t="s">
        <v>36</v>
      </c>
    </row>
    <row r="132" spans="1:3">
      <c r="A132" s="20">
        <v>132</v>
      </c>
      <c r="B132" s="21">
        <v>0.879</v>
      </c>
      <c r="C132" s="20" t="s">
        <v>37</v>
      </c>
    </row>
    <row r="133" spans="1:3">
      <c r="A133" s="20">
        <v>133</v>
      </c>
      <c r="B133" s="21">
        <v>0.87</v>
      </c>
      <c r="C133" s="20" t="s">
        <v>38</v>
      </c>
    </row>
    <row r="134" spans="1:3">
      <c r="A134" s="20">
        <v>134</v>
      </c>
      <c r="B134" s="21">
        <v>0.88600000000000001</v>
      </c>
      <c r="C134" s="20" t="s">
        <v>39</v>
      </c>
    </row>
    <row r="135" spans="1:3">
      <c r="A135" s="20">
        <v>135</v>
      </c>
      <c r="B135" s="21">
        <v>0.88900000000000001</v>
      </c>
      <c r="C135" s="20" t="s">
        <v>40</v>
      </c>
    </row>
    <row r="136" spans="1:3">
      <c r="A136" s="20">
        <v>136</v>
      </c>
      <c r="B136" s="21">
        <v>0.873</v>
      </c>
      <c r="C136" s="20" t="s">
        <v>41</v>
      </c>
    </row>
    <row r="137" spans="1:3">
      <c r="A137" s="20">
        <v>137</v>
      </c>
      <c r="B137" s="21">
        <v>0.872</v>
      </c>
      <c r="C137" s="20" t="s">
        <v>42</v>
      </c>
    </row>
    <row r="138" spans="1:3">
      <c r="A138" s="20">
        <v>138</v>
      </c>
      <c r="B138" s="21">
        <v>0.88800000000000001</v>
      </c>
      <c r="C138" s="20" t="s">
        <v>43</v>
      </c>
    </row>
    <row r="139" spans="1:3">
      <c r="A139" s="20">
        <v>139</v>
      </c>
      <c r="B139" s="21">
        <v>0.875</v>
      </c>
      <c r="C139" s="20" t="s">
        <v>44</v>
      </c>
    </row>
    <row r="140" spans="1:3">
      <c r="A140" s="20">
        <v>140</v>
      </c>
      <c r="B140" s="21">
        <v>0.88300000000000001</v>
      </c>
      <c r="C140" s="20" t="s">
        <v>45</v>
      </c>
    </row>
    <row r="141" spans="1:3">
      <c r="A141" s="20">
        <v>141</v>
      </c>
      <c r="B141" s="21">
        <v>10</v>
      </c>
      <c r="C141" s="20" t="s">
        <v>237</v>
      </c>
    </row>
    <row r="142" spans="1:3">
      <c r="A142" s="20">
        <v>142</v>
      </c>
      <c r="B142" s="21" t="s">
        <v>497</v>
      </c>
      <c r="C142" s="20" t="s">
        <v>20</v>
      </c>
    </row>
    <row r="143" spans="1:3">
      <c r="A143" s="20">
        <v>143</v>
      </c>
      <c r="B143" s="21" t="s">
        <v>498</v>
      </c>
      <c r="C143" s="20" t="s">
        <v>21</v>
      </c>
    </row>
    <row r="144" spans="1:3">
      <c r="A144" s="20">
        <v>144</v>
      </c>
      <c r="B144" s="21" t="s">
        <v>492</v>
      </c>
      <c r="C144" s="20" t="s">
        <v>49</v>
      </c>
    </row>
    <row r="145" spans="1:3">
      <c r="A145" s="20">
        <v>145</v>
      </c>
      <c r="B145" s="21"/>
      <c r="C145" s="20" t="s">
        <v>50</v>
      </c>
    </row>
    <row r="146" spans="1:3">
      <c r="A146" s="20">
        <v>146</v>
      </c>
      <c r="B146" s="21"/>
      <c r="C146" s="20" t="s">
        <v>51</v>
      </c>
    </row>
    <row r="147" spans="1:3">
      <c r="A147" s="20">
        <v>147</v>
      </c>
      <c r="B147" s="21"/>
      <c r="C147" s="20" t="s">
        <v>238</v>
      </c>
    </row>
    <row r="148" spans="1:3">
      <c r="A148" s="20">
        <v>148</v>
      </c>
      <c r="B148" s="21"/>
      <c r="C148" s="20" t="s">
        <v>239</v>
      </c>
    </row>
    <row r="149" spans="1:3">
      <c r="A149" s="20">
        <v>149</v>
      </c>
      <c r="B149" s="21"/>
      <c r="C149" s="20" t="s">
        <v>240</v>
      </c>
    </row>
    <row r="150" spans="1:3">
      <c r="A150" s="22">
        <v>150</v>
      </c>
      <c r="B150" s="23"/>
      <c r="C150" s="22" t="s">
        <v>241</v>
      </c>
    </row>
    <row r="151" spans="1:3">
      <c r="A151" s="18">
        <v>151</v>
      </c>
      <c r="B151" s="19">
        <v>6.4160000000000004</v>
      </c>
      <c r="C151" s="18" t="s">
        <v>36</v>
      </c>
    </row>
    <row r="152" spans="1:3">
      <c r="A152" s="20">
        <v>152</v>
      </c>
      <c r="B152" s="21">
        <v>6.5</v>
      </c>
      <c r="C152" s="20" t="s">
        <v>37</v>
      </c>
    </row>
    <row r="153" spans="1:3">
      <c r="A153" s="20">
        <v>153</v>
      </c>
      <c r="B153" s="21">
        <v>6.375</v>
      </c>
      <c r="C153" s="20" t="s">
        <v>38</v>
      </c>
    </row>
    <row r="154" spans="1:3">
      <c r="A154" s="20">
        <v>154</v>
      </c>
      <c r="B154" s="21">
        <v>6.3959999999999999</v>
      </c>
      <c r="C154" s="20" t="s">
        <v>39</v>
      </c>
    </row>
    <row r="155" spans="1:3">
      <c r="A155" s="20">
        <v>155</v>
      </c>
      <c r="B155" s="21">
        <v>6.415</v>
      </c>
      <c r="C155" s="20" t="s">
        <v>40</v>
      </c>
    </row>
    <row r="156" spans="1:3">
      <c r="A156" s="20">
        <v>156</v>
      </c>
      <c r="B156" s="21">
        <v>6.3620000000000001</v>
      </c>
      <c r="C156" s="20" t="s">
        <v>41</v>
      </c>
    </row>
    <row r="157" spans="1:3">
      <c r="A157" s="20">
        <v>157</v>
      </c>
      <c r="B157" s="21">
        <v>6.3959999999999999</v>
      </c>
      <c r="C157" s="20" t="s">
        <v>42</v>
      </c>
    </row>
    <row r="158" spans="1:3">
      <c r="A158" s="20">
        <v>158</v>
      </c>
      <c r="B158" s="21">
        <v>6.4870000000000001</v>
      </c>
      <c r="C158" s="20" t="s">
        <v>43</v>
      </c>
    </row>
    <row r="159" spans="1:3">
      <c r="A159" s="20">
        <v>159</v>
      </c>
      <c r="B159" s="21">
        <v>6.38</v>
      </c>
      <c r="C159" s="20" t="s">
        <v>44</v>
      </c>
    </row>
    <row r="160" spans="1:3">
      <c r="A160" s="20">
        <v>160</v>
      </c>
      <c r="B160" s="21">
        <v>6.3940000000000001</v>
      </c>
      <c r="C160" s="20" t="s">
        <v>45</v>
      </c>
    </row>
    <row r="161" spans="1:3">
      <c r="A161" s="20">
        <v>161</v>
      </c>
      <c r="B161" s="21">
        <v>10</v>
      </c>
      <c r="C161" s="20" t="s">
        <v>237</v>
      </c>
    </row>
    <row r="162" spans="1:3">
      <c r="A162" s="20">
        <v>162</v>
      </c>
      <c r="B162" s="21" t="s">
        <v>499</v>
      </c>
      <c r="C162" s="20" t="s">
        <v>20</v>
      </c>
    </row>
    <row r="163" spans="1:3">
      <c r="A163" s="20">
        <v>163</v>
      </c>
      <c r="B163" s="21" t="s">
        <v>500</v>
      </c>
      <c r="C163" s="20" t="s">
        <v>21</v>
      </c>
    </row>
    <row r="164" spans="1:3">
      <c r="A164" s="20">
        <v>164</v>
      </c>
      <c r="B164" s="21" t="s">
        <v>492</v>
      </c>
      <c r="C164" s="20" t="s">
        <v>49</v>
      </c>
    </row>
    <row r="165" spans="1:3">
      <c r="A165" s="20">
        <v>165</v>
      </c>
      <c r="B165" s="21"/>
      <c r="C165" s="20" t="s">
        <v>50</v>
      </c>
    </row>
    <row r="166" spans="1:3">
      <c r="A166" s="20">
        <v>166</v>
      </c>
      <c r="B166" s="21"/>
      <c r="C166" s="20" t="s">
        <v>51</v>
      </c>
    </row>
    <row r="167" spans="1:3">
      <c r="A167" s="20">
        <v>167</v>
      </c>
      <c r="B167" s="21"/>
      <c r="C167" s="20" t="s">
        <v>238</v>
      </c>
    </row>
    <row r="168" spans="1:3">
      <c r="A168" s="20">
        <v>168</v>
      </c>
      <c r="B168" s="21"/>
      <c r="C168" s="20" t="s">
        <v>239</v>
      </c>
    </row>
    <row r="169" spans="1:3">
      <c r="A169" s="20">
        <v>169</v>
      </c>
      <c r="B169" s="21"/>
      <c r="C169" s="20" t="s">
        <v>240</v>
      </c>
    </row>
    <row r="170" spans="1:3">
      <c r="A170" s="22">
        <v>170</v>
      </c>
      <c r="B170" s="23"/>
      <c r="C170" s="22" t="s">
        <v>241</v>
      </c>
    </row>
    <row r="171" spans="1:3">
      <c r="A171" s="18">
        <v>171</v>
      </c>
      <c r="B171" s="19">
        <v>6.3970000000000002</v>
      </c>
      <c r="C171" s="18" t="s">
        <v>36</v>
      </c>
    </row>
    <row r="172" spans="1:3">
      <c r="A172" s="20">
        <v>172</v>
      </c>
      <c r="B172" s="21">
        <v>6.38</v>
      </c>
      <c r="C172" s="20" t="s">
        <v>37</v>
      </c>
    </row>
    <row r="173" spans="1:3">
      <c r="A173" s="20">
        <v>173</v>
      </c>
      <c r="B173" s="21">
        <v>6.4610000000000003</v>
      </c>
      <c r="C173" s="20" t="s">
        <v>38</v>
      </c>
    </row>
    <row r="174" spans="1:3">
      <c r="A174" s="20">
        <v>174</v>
      </c>
      <c r="B174" s="21">
        <v>6.3979999999999997</v>
      </c>
      <c r="C174" s="20" t="s">
        <v>39</v>
      </c>
    </row>
    <row r="175" spans="1:3">
      <c r="A175" s="20">
        <v>175</v>
      </c>
      <c r="B175" s="21">
        <v>6.3639999999999999</v>
      </c>
      <c r="C175" s="20" t="s">
        <v>40</v>
      </c>
    </row>
    <row r="176" spans="1:3">
      <c r="A176" s="20">
        <v>176</v>
      </c>
      <c r="B176" s="21">
        <v>6.3840000000000003</v>
      </c>
      <c r="C176" s="20" t="s">
        <v>41</v>
      </c>
    </row>
    <row r="177" spans="1:3">
      <c r="A177" s="20">
        <v>177</v>
      </c>
      <c r="B177" s="21">
        <v>6.3819999999999997</v>
      </c>
      <c r="C177" s="20" t="s">
        <v>42</v>
      </c>
    </row>
    <row r="178" spans="1:3">
      <c r="A178" s="20">
        <v>178</v>
      </c>
      <c r="B178" s="21">
        <v>6.3769999999999998</v>
      </c>
      <c r="C178" s="20" t="s">
        <v>43</v>
      </c>
    </row>
    <row r="179" spans="1:3">
      <c r="A179" s="20">
        <v>179</v>
      </c>
      <c r="B179" s="21">
        <v>6.3819999999999997</v>
      </c>
      <c r="C179" s="20" t="s">
        <v>44</v>
      </c>
    </row>
    <row r="180" spans="1:3">
      <c r="A180" s="20">
        <v>180</v>
      </c>
      <c r="B180" s="21">
        <v>6.383</v>
      </c>
      <c r="C180" s="20" t="s">
        <v>45</v>
      </c>
    </row>
    <row r="181" spans="1:3">
      <c r="A181" s="20">
        <v>181</v>
      </c>
      <c r="B181" s="21">
        <v>10</v>
      </c>
      <c r="C181" s="20" t="s">
        <v>237</v>
      </c>
    </row>
    <row r="182" spans="1:3">
      <c r="A182" s="20">
        <v>182</v>
      </c>
      <c r="B182" s="21" t="s">
        <v>501</v>
      </c>
      <c r="C182" s="20" t="s">
        <v>20</v>
      </c>
    </row>
    <row r="183" spans="1:3">
      <c r="A183" s="20">
        <v>183</v>
      </c>
      <c r="B183" s="21" t="s">
        <v>500</v>
      </c>
      <c r="C183" s="20" t="s">
        <v>21</v>
      </c>
    </row>
    <row r="184" spans="1:3">
      <c r="A184" s="20">
        <v>184</v>
      </c>
      <c r="B184" s="21" t="s">
        <v>492</v>
      </c>
      <c r="C184" s="20" t="s">
        <v>49</v>
      </c>
    </row>
    <row r="185" spans="1:3">
      <c r="A185" s="20">
        <v>185</v>
      </c>
      <c r="B185" s="21"/>
      <c r="C185" s="20" t="s">
        <v>50</v>
      </c>
    </row>
    <row r="186" spans="1:3">
      <c r="A186" s="20">
        <v>186</v>
      </c>
      <c r="B186" s="21"/>
      <c r="C186" s="20" t="s">
        <v>51</v>
      </c>
    </row>
    <row r="187" spans="1:3">
      <c r="A187" s="20">
        <v>187</v>
      </c>
      <c r="B187" s="21"/>
      <c r="C187" s="20" t="s">
        <v>238</v>
      </c>
    </row>
    <row r="188" spans="1:3">
      <c r="A188" s="20">
        <v>188</v>
      </c>
      <c r="B188" s="21"/>
      <c r="C188" s="20" t="s">
        <v>239</v>
      </c>
    </row>
    <row r="189" spans="1:3">
      <c r="A189" s="20">
        <v>189</v>
      </c>
      <c r="B189" s="21"/>
      <c r="C189" s="20" t="s">
        <v>240</v>
      </c>
    </row>
    <row r="190" spans="1:3">
      <c r="A190" s="22">
        <v>190</v>
      </c>
      <c r="B190" s="23"/>
      <c r="C190" s="22" t="s">
        <v>241</v>
      </c>
    </row>
    <row r="191" spans="1:3">
      <c r="A191" s="18">
        <v>191</v>
      </c>
      <c r="B191" s="19">
        <v>0.98</v>
      </c>
      <c r="C191" s="18" t="s">
        <v>36</v>
      </c>
    </row>
    <row r="192" spans="1:3">
      <c r="A192" s="20">
        <v>192</v>
      </c>
      <c r="B192" s="21">
        <v>0.98399999999999999</v>
      </c>
      <c r="C192" s="20" t="s">
        <v>37</v>
      </c>
    </row>
    <row r="193" spans="1:3">
      <c r="A193" s="20">
        <v>193</v>
      </c>
      <c r="B193" s="21">
        <v>0.99399999999999999</v>
      </c>
      <c r="C193" s="20" t="s">
        <v>38</v>
      </c>
    </row>
    <row r="194" spans="1:3">
      <c r="A194" s="20">
        <v>194</v>
      </c>
      <c r="B194" s="21">
        <v>0.99</v>
      </c>
      <c r="C194" s="20" t="s">
        <v>39</v>
      </c>
    </row>
    <row r="195" spans="1:3">
      <c r="A195" s="20">
        <v>195</v>
      </c>
      <c r="B195" s="21">
        <v>0.97599999999999998</v>
      </c>
      <c r="C195" s="20" t="s">
        <v>40</v>
      </c>
    </row>
    <row r="196" spans="1:3">
      <c r="A196" s="20">
        <v>196</v>
      </c>
      <c r="B196" s="21">
        <v>0.98699999999999999</v>
      </c>
      <c r="C196" s="20" t="s">
        <v>41</v>
      </c>
    </row>
    <row r="197" spans="1:3">
      <c r="A197" s="20">
        <v>197</v>
      </c>
      <c r="B197" s="21">
        <v>0.995</v>
      </c>
      <c r="C197" s="20" t="s">
        <v>42</v>
      </c>
    </row>
    <row r="198" spans="1:3">
      <c r="A198" s="20">
        <v>198</v>
      </c>
      <c r="B198" s="21">
        <v>0.98399999999999999</v>
      </c>
      <c r="C198" s="20" t="s">
        <v>43</v>
      </c>
    </row>
    <row r="199" spans="1:3">
      <c r="A199" s="20">
        <v>199</v>
      </c>
      <c r="B199" s="21">
        <v>1.0029999999999999</v>
      </c>
      <c r="C199" s="20" t="s">
        <v>44</v>
      </c>
    </row>
    <row r="200" spans="1:3">
      <c r="A200" s="20">
        <v>200</v>
      </c>
      <c r="B200" s="21">
        <v>0.98299999999999998</v>
      </c>
      <c r="C200" s="20" t="s">
        <v>45</v>
      </c>
    </row>
    <row r="201" spans="1:3">
      <c r="A201" s="20">
        <v>201</v>
      </c>
      <c r="B201" s="21">
        <v>10</v>
      </c>
      <c r="C201" s="20" t="s">
        <v>237</v>
      </c>
    </row>
    <row r="202" spans="1:3">
      <c r="A202" s="20">
        <v>202</v>
      </c>
      <c r="B202" s="21" t="s">
        <v>502</v>
      </c>
      <c r="C202" s="20" t="s">
        <v>20</v>
      </c>
    </row>
    <row r="203" spans="1:3">
      <c r="A203" s="20">
        <v>203</v>
      </c>
      <c r="B203" s="21" t="s">
        <v>503</v>
      </c>
      <c r="C203" s="20" t="s">
        <v>21</v>
      </c>
    </row>
    <row r="204" spans="1:3">
      <c r="A204" s="20">
        <v>204</v>
      </c>
      <c r="B204" s="21" t="s">
        <v>492</v>
      </c>
      <c r="C204" s="20" t="s">
        <v>49</v>
      </c>
    </row>
    <row r="205" spans="1:3">
      <c r="A205" s="20">
        <v>205</v>
      </c>
      <c r="B205" s="21"/>
      <c r="C205" s="20" t="s">
        <v>50</v>
      </c>
    </row>
    <row r="206" spans="1:3">
      <c r="A206" s="20">
        <v>206</v>
      </c>
      <c r="B206" s="21"/>
      <c r="C206" s="20" t="s">
        <v>51</v>
      </c>
    </row>
    <row r="207" spans="1:3">
      <c r="A207" s="20">
        <v>207</v>
      </c>
      <c r="B207" s="21"/>
      <c r="C207" s="20" t="s">
        <v>238</v>
      </c>
    </row>
    <row r="208" spans="1:3">
      <c r="A208" s="20">
        <v>208</v>
      </c>
      <c r="B208" s="21"/>
      <c r="C208" s="20" t="s">
        <v>239</v>
      </c>
    </row>
    <row r="209" spans="1:3">
      <c r="A209" s="20">
        <v>209</v>
      </c>
      <c r="B209" s="21"/>
      <c r="C209" s="20" t="s">
        <v>240</v>
      </c>
    </row>
    <row r="210" spans="1:3">
      <c r="A210" s="22">
        <v>210</v>
      </c>
      <c r="B210" s="23"/>
      <c r="C210" s="22" t="s">
        <v>241</v>
      </c>
    </row>
    <row r="211" spans="1:3">
      <c r="A211" s="18">
        <v>211</v>
      </c>
      <c r="B211" s="19">
        <v>1.0229999999999999</v>
      </c>
      <c r="C211" s="18" t="s">
        <v>36</v>
      </c>
    </row>
    <row r="212" spans="1:3">
      <c r="A212" s="20">
        <v>212</v>
      </c>
      <c r="B212" s="21">
        <v>1.004</v>
      </c>
      <c r="C212" s="20" t="s">
        <v>37</v>
      </c>
    </row>
    <row r="213" spans="1:3">
      <c r="A213" s="20">
        <v>213</v>
      </c>
      <c r="B213" s="21">
        <v>1.008</v>
      </c>
      <c r="C213" s="20" t="s">
        <v>38</v>
      </c>
    </row>
    <row r="214" spans="1:3">
      <c r="A214" s="20">
        <v>214</v>
      </c>
      <c r="B214" s="21">
        <v>1.006</v>
      </c>
      <c r="C214" s="20" t="s">
        <v>39</v>
      </c>
    </row>
    <row r="215" spans="1:3">
      <c r="A215" s="20">
        <v>215</v>
      </c>
      <c r="B215" s="21">
        <v>1.0129999999999999</v>
      </c>
      <c r="C215" s="20" t="s">
        <v>40</v>
      </c>
    </row>
    <row r="216" spans="1:3">
      <c r="A216" s="20">
        <v>216</v>
      </c>
      <c r="B216" s="21">
        <v>1.002</v>
      </c>
      <c r="C216" s="20" t="s">
        <v>41</v>
      </c>
    </row>
    <row r="217" spans="1:3">
      <c r="A217" s="20">
        <v>217</v>
      </c>
      <c r="B217" s="21">
        <v>1.0049999999999999</v>
      </c>
      <c r="C217" s="20" t="s">
        <v>42</v>
      </c>
    </row>
    <row r="218" spans="1:3">
      <c r="A218" s="20">
        <v>218</v>
      </c>
      <c r="B218" s="21">
        <v>1.0049999999999999</v>
      </c>
      <c r="C218" s="20" t="s">
        <v>43</v>
      </c>
    </row>
    <row r="219" spans="1:3">
      <c r="A219" s="20">
        <v>219</v>
      </c>
      <c r="B219" s="21">
        <v>0.99299999999999999</v>
      </c>
      <c r="C219" s="20" t="s">
        <v>44</v>
      </c>
    </row>
    <row r="220" spans="1:3">
      <c r="A220" s="20">
        <v>220</v>
      </c>
      <c r="B220" s="21">
        <v>0.997</v>
      </c>
      <c r="C220" s="20" t="s">
        <v>45</v>
      </c>
    </row>
    <row r="221" spans="1:3">
      <c r="A221" s="20">
        <v>221</v>
      </c>
      <c r="B221" s="21">
        <v>10</v>
      </c>
      <c r="C221" s="20" t="s">
        <v>237</v>
      </c>
    </row>
    <row r="222" spans="1:3">
      <c r="A222" s="20">
        <v>222</v>
      </c>
      <c r="B222" s="21" t="s">
        <v>504</v>
      </c>
      <c r="C222" s="20" t="s">
        <v>20</v>
      </c>
    </row>
    <row r="223" spans="1:3">
      <c r="A223" s="20">
        <v>223</v>
      </c>
      <c r="B223" s="21" t="s">
        <v>503</v>
      </c>
      <c r="C223" s="20" t="s">
        <v>21</v>
      </c>
    </row>
    <row r="224" spans="1:3">
      <c r="A224" s="20">
        <v>224</v>
      </c>
      <c r="B224" s="21" t="s">
        <v>492</v>
      </c>
      <c r="C224" s="20" t="s">
        <v>49</v>
      </c>
    </row>
    <row r="225" spans="1:3">
      <c r="A225" s="20">
        <v>225</v>
      </c>
      <c r="B225" s="21"/>
      <c r="C225" s="20" t="s">
        <v>50</v>
      </c>
    </row>
    <row r="226" spans="1:3">
      <c r="A226" s="20">
        <v>226</v>
      </c>
      <c r="B226" s="21"/>
      <c r="C226" s="20" t="s">
        <v>51</v>
      </c>
    </row>
    <row r="227" spans="1:3">
      <c r="A227" s="20">
        <v>227</v>
      </c>
      <c r="B227" s="21"/>
      <c r="C227" s="20" t="s">
        <v>238</v>
      </c>
    </row>
    <row r="228" spans="1:3">
      <c r="A228" s="20">
        <v>228</v>
      </c>
      <c r="B228" s="21"/>
      <c r="C228" s="20" t="s">
        <v>239</v>
      </c>
    </row>
    <row r="229" spans="1:3">
      <c r="A229" s="20">
        <v>229</v>
      </c>
      <c r="B229" s="21"/>
      <c r="C229" s="20" t="s">
        <v>240</v>
      </c>
    </row>
    <row r="230" spans="1:3">
      <c r="A230" s="22">
        <v>230</v>
      </c>
      <c r="B230" s="23"/>
      <c r="C230" s="22" t="s">
        <v>241</v>
      </c>
    </row>
    <row r="231" spans="1:3">
      <c r="A231" s="18">
        <v>231</v>
      </c>
      <c r="B231" s="19">
        <v>15.927</v>
      </c>
      <c r="C231" s="18" t="s">
        <v>36</v>
      </c>
    </row>
    <row r="232" spans="1:3">
      <c r="A232" s="20">
        <v>232</v>
      </c>
      <c r="B232" s="21">
        <v>15.888999999999999</v>
      </c>
      <c r="C232" s="20" t="s">
        <v>37</v>
      </c>
    </row>
    <row r="233" spans="1:3">
      <c r="A233" s="20">
        <v>233</v>
      </c>
      <c r="B233" s="21">
        <v>15.871</v>
      </c>
      <c r="C233" s="20" t="s">
        <v>38</v>
      </c>
    </row>
    <row r="234" spans="1:3">
      <c r="A234" s="20">
        <v>234</v>
      </c>
      <c r="B234" s="21">
        <v>15.875</v>
      </c>
      <c r="C234" s="20" t="s">
        <v>39</v>
      </c>
    </row>
    <row r="235" spans="1:3">
      <c r="A235" s="20">
        <v>235</v>
      </c>
      <c r="B235" s="21">
        <v>15.885</v>
      </c>
      <c r="C235" s="20" t="s">
        <v>40</v>
      </c>
    </row>
    <row r="236" spans="1:3">
      <c r="A236" s="20">
        <v>236</v>
      </c>
      <c r="B236" s="21">
        <v>15.885999999999999</v>
      </c>
      <c r="C236" s="20" t="s">
        <v>41</v>
      </c>
    </row>
    <row r="237" spans="1:3">
      <c r="A237" s="20">
        <v>237</v>
      </c>
      <c r="B237" s="21">
        <v>15.863</v>
      </c>
      <c r="C237" s="20" t="s">
        <v>42</v>
      </c>
    </row>
    <row r="238" spans="1:3">
      <c r="A238" s="20">
        <v>238</v>
      </c>
      <c r="B238" s="21">
        <v>15.885999999999999</v>
      </c>
      <c r="C238" s="20" t="s">
        <v>43</v>
      </c>
    </row>
    <row r="239" spans="1:3">
      <c r="A239" s="20">
        <v>239</v>
      </c>
      <c r="B239" s="21">
        <v>15.922000000000001</v>
      </c>
      <c r="C239" s="20" t="s">
        <v>44</v>
      </c>
    </row>
    <row r="240" spans="1:3">
      <c r="A240" s="20">
        <v>240</v>
      </c>
      <c r="B240" s="21">
        <v>15.898999999999999</v>
      </c>
      <c r="C240" s="20" t="s">
        <v>45</v>
      </c>
    </row>
    <row r="241" spans="1:3">
      <c r="A241" s="20">
        <v>241</v>
      </c>
      <c r="B241" s="21">
        <v>10</v>
      </c>
      <c r="C241" s="20" t="s">
        <v>237</v>
      </c>
    </row>
    <row r="242" spans="1:3">
      <c r="A242" s="20">
        <v>242</v>
      </c>
      <c r="B242" s="21" t="s">
        <v>505</v>
      </c>
      <c r="C242" s="20" t="s">
        <v>20</v>
      </c>
    </row>
    <row r="243" spans="1:3">
      <c r="A243" s="20">
        <v>243</v>
      </c>
      <c r="B243" s="21" t="s">
        <v>506</v>
      </c>
      <c r="C243" s="20" t="s">
        <v>21</v>
      </c>
    </row>
    <row r="244" spans="1:3">
      <c r="A244" s="20">
        <v>244</v>
      </c>
      <c r="B244" s="21" t="s">
        <v>492</v>
      </c>
      <c r="C244" s="20" t="s">
        <v>49</v>
      </c>
    </row>
    <row r="245" spans="1:3">
      <c r="A245" s="20">
        <v>245</v>
      </c>
      <c r="B245" s="21"/>
      <c r="C245" s="20" t="s">
        <v>50</v>
      </c>
    </row>
    <row r="246" spans="1:3">
      <c r="A246" s="20">
        <v>246</v>
      </c>
      <c r="B246" s="21"/>
      <c r="C246" s="20" t="s">
        <v>51</v>
      </c>
    </row>
    <row r="247" spans="1:3">
      <c r="A247" s="20">
        <v>247</v>
      </c>
      <c r="B247" s="21"/>
      <c r="C247" s="20" t="s">
        <v>238</v>
      </c>
    </row>
    <row r="248" spans="1:3">
      <c r="A248" s="20">
        <v>248</v>
      </c>
      <c r="B248" s="21"/>
      <c r="C248" s="20" t="s">
        <v>239</v>
      </c>
    </row>
    <row r="249" spans="1:3">
      <c r="A249" s="20">
        <v>249</v>
      </c>
      <c r="B249" s="21"/>
      <c r="C249" s="20" t="s">
        <v>240</v>
      </c>
    </row>
    <row r="250" spans="1:3">
      <c r="A250" s="22">
        <v>250</v>
      </c>
      <c r="B250" s="23"/>
      <c r="C250" s="22" t="s">
        <v>241</v>
      </c>
    </row>
    <row r="251" spans="1:3">
      <c r="A251" s="18">
        <v>251</v>
      </c>
      <c r="B251" s="19">
        <v>2.6989999999999998</v>
      </c>
      <c r="C251" s="18" t="s">
        <v>36</v>
      </c>
    </row>
    <row r="252" spans="1:3">
      <c r="A252" s="20">
        <v>252</v>
      </c>
      <c r="B252" s="21">
        <v>2.68</v>
      </c>
      <c r="C252" s="20" t="s">
        <v>37</v>
      </c>
    </row>
    <row r="253" spans="1:3">
      <c r="A253" s="20">
        <v>253</v>
      </c>
      <c r="B253" s="21">
        <v>2.6840000000000002</v>
      </c>
      <c r="C253" s="20" t="s">
        <v>38</v>
      </c>
    </row>
    <row r="254" spans="1:3">
      <c r="A254" s="20">
        <v>254</v>
      </c>
      <c r="B254" s="21">
        <v>2.6360000000000001</v>
      </c>
      <c r="C254" s="20" t="s">
        <v>39</v>
      </c>
    </row>
    <row r="255" spans="1:3">
      <c r="A255" s="20">
        <v>255</v>
      </c>
      <c r="B255" s="21">
        <v>2.6709999999999998</v>
      </c>
      <c r="C255" s="20" t="s">
        <v>40</v>
      </c>
    </row>
    <row r="256" spans="1:3">
      <c r="A256" s="20">
        <v>256</v>
      </c>
      <c r="B256" s="21">
        <v>2.6869999999999998</v>
      </c>
      <c r="C256" s="20" t="s">
        <v>41</v>
      </c>
    </row>
    <row r="257" spans="1:3">
      <c r="A257" s="20">
        <v>257</v>
      </c>
      <c r="B257" s="21">
        <v>2.694</v>
      </c>
      <c r="C257" s="20" t="s">
        <v>42</v>
      </c>
    </row>
    <row r="258" spans="1:3">
      <c r="A258" s="20">
        <v>258</v>
      </c>
      <c r="B258" s="21">
        <v>2.6829999999999998</v>
      </c>
      <c r="C258" s="20" t="s">
        <v>43</v>
      </c>
    </row>
    <row r="259" spans="1:3">
      <c r="A259" s="20">
        <v>259</v>
      </c>
      <c r="B259" s="21">
        <v>2.669</v>
      </c>
      <c r="C259" s="20" t="s">
        <v>44</v>
      </c>
    </row>
    <row r="260" spans="1:3">
      <c r="A260" s="20">
        <v>260</v>
      </c>
      <c r="B260" s="21">
        <v>2.6749999999999998</v>
      </c>
      <c r="C260" s="20" t="s">
        <v>45</v>
      </c>
    </row>
    <row r="261" spans="1:3">
      <c r="A261" s="20">
        <v>261</v>
      </c>
      <c r="B261" s="21">
        <v>10</v>
      </c>
      <c r="C261" s="20" t="s">
        <v>237</v>
      </c>
    </row>
    <row r="262" spans="1:3">
      <c r="A262" s="20">
        <v>262</v>
      </c>
      <c r="B262" s="21" t="s">
        <v>507</v>
      </c>
      <c r="C262" s="20" t="s">
        <v>20</v>
      </c>
    </row>
    <row r="263" spans="1:3">
      <c r="A263" s="20">
        <v>263</v>
      </c>
      <c r="B263" s="21" t="s">
        <v>508</v>
      </c>
      <c r="C263" s="20" t="s">
        <v>21</v>
      </c>
    </row>
    <row r="264" spans="1:3">
      <c r="A264" s="20">
        <v>264</v>
      </c>
      <c r="B264" s="21" t="s">
        <v>492</v>
      </c>
      <c r="C264" s="20" t="s">
        <v>49</v>
      </c>
    </row>
    <row r="265" spans="1:3">
      <c r="A265" s="20">
        <v>265</v>
      </c>
      <c r="B265" s="21"/>
      <c r="C265" s="20" t="s">
        <v>50</v>
      </c>
    </row>
    <row r="266" spans="1:3">
      <c r="A266" s="20">
        <v>266</v>
      </c>
      <c r="B266" s="21"/>
      <c r="C266" s="20" t="s">
        <v>51</v>
      </c>
    </row>
    <row r="267" spans="1:3">
      <c r="A267" s="20">
        <v>267</v>
      </c>
      <c r="B267" s="21"/>
      <c r="C267" s="20" t="s">
        <v>238</v>
      </c>
    </row>
    <row r="268" spans="1:3">
      <c r="A268" s="20">
        <v>268</v>
      </c>
      <c r="B268" s="21"/>
      <c r="C268" s="20" t="s">
        <v>239</v>
      </c>
    </row>
    <row r="269" spans="1:3">
      <c r="A269" s="20">
        <v>269</v>
      </c>
      <c r="B269" s="21"/>
      <c r="C269" s="20" t="s">
        <v>240</v>
      </c>
    </row>
    <row r="270" spans="1:3">
      <c r="A270" s="22">
        <v>270</v>
      </c>
      <c r="B270" s="23"/>
      <c r="C270" s="22" t="s">
        <v>241</v>
      </c>
    </row>
    <row r="271" spans="1:3">
      <c r="A271" s="18">
        <v>271</v>
      </c>
      <c r="B271" s="19"/>
      <c r="C271" s="18" t="s">
        <v>36</v>
      </c>
    </row>
    <row r="272" spans="1:3">
      <c r="A272" s="20">
        <v>272</v>
      </c>
      <c r="B272" s="21"/>
      <c r="C272" s="20" t="s">
        <v>37</v>
      </c>
    </row>
    <row r="273" spans="1:3">
      <c r="A273" s="20">
        <v>273</v>
      </c>
      <c r="B273" s="21"/>
      <c r="C273" s="20" t="s">
        <v>38</v>
      </c>
    </row>
    <row r="274" spans="1:3">
      <c r="A274" s="20">
        <v>274</v>
      </c>
      <c r="B274" s="21"/>
      <c r="C274" s="20" t="s">
        <v>39</v>
      </c>
    </row>
    <row r="275" spans="1:3">
      <c r="A275" s="20">
        <v>275</v>
      </c>
      <c r="B275" s="21"/>
      <c r="C275" s="20" t="s">
        <v>40</v>
      </c>
    </row>
    <row r="276" spans="1:3">
      <c r="A276" s="20">
        <v>276</v>
      </c>
      <c r="B276" s="21"/>
      <c r="C276" s="20" t="s">
        <v>41</v>
      </c>
    </row>
    <row r="277" spans="1:3">
      <c r="A277" s="20">
        <v>277</v>
      </c>
      <c r="B277" s="21"/>
      <c r="C277" s="20" t="s">
        <v>42</v>
      </c>
    </row>
    <row r="278" spans="1:3">
      <c r="A278" s="20">
        <v>278</v>
      </c>
      <c r="B278" s="21"/>
      <c r="C278" s="20" t="s">
        <v>43</v>
      </c>
    </row>
    <row r="279" spans="1:3">
      <c r="A279" s="20">
        <v>279</v>
      </c>
      <c r="B279" s="21"/>
      <c r="C279" s="20" t="s">
        <v>44</v>
      </c>
    </row>
    <row r="280" spans="1:3">
      <c r="A280" s="20">
        <v>280</v>
      </c>
      <c r="B280" s="21"/>
      <c r="C280" s="20" t="s">
        <v>45</v>
      </c>
    </row>
    <row r="281" spans="1:3">
      <c r="A281" s="20">
        <v>281</v>
      </c>
      <c r="B281" s="21"/>
      <c r="C281" s="20" t="s">
        <v>237</v>
      </c>
    </row>
    <row r="282" spans="1:3">
      <c r="A282" s="20">
        <v>282</v>
      </c>
      <c r="B282" s="21"/>
      <c r="C282" s="20" t="s">
        <v>20</v>
      </c>
    </row>
    <row r="283" spans="1:3">
      <c r="A283" s="20">
        <v>283</v>
      </c>
      <c r="B283" s="21"/>
      <c r="C283" s="20" t="s">
        <v>21</v>
      </c>
    </row>
    <row r="284" spans="1:3">
      <c r="A284" s="20">
        <v>284</v>
      </c>
      <c r="B284" s="21"/>
      <c r="C284" s="20" t="s">
        <v>49</v>
      </c>
    </row>
    <row r="285" spans="1:3">
      <c r="A285" s="20">
        <v>285</v>
      </c>
      <c r="B285" s="21"/>
      <c r="C285" s="20" t="s">
        <v>50</v>
      </c>
    </row>
    <row r="286" spans="1:3">
      <c r="A286" s="20">
        <v>286</v>
      </c>
      <c r="B286" s="21"/>
      <c r="C286" s="20" t="s">
        <v>51</v>
      </c>
    </row>
    <row r="287" spans="1:3">
      <c r="A287" s="20">
        <v>287</v>
      </c>
      <c r="B287" s="21"/>
      <c r="C287" s="20" t="s">
        <v>238</v>
      </c>
    </row>
    <row r="288" spans="1:3">
      <c r="A288" s="20">
        <v>288</v>
      </c>
      <c r="B288" s="21"/>
      <c r="C288" s="20" t="s">
        <v>239</v>
      </c>
    </row>
    <row r="289" spans="1:3">
      <c r="A289" s="20">
        <v>289</v>
      </c>
      <c r="B289" s="21"/>
      <c r="C289" s="20" t="s">
        <v>240</v>
      </c>
    </row>
    <row r="290" spans="1:3">
      <c r="A290" s="22">
        <v>290</v>
      </c>
      <c r="B290" s="23"/>
      <c r="C290" s="22" t="s">
        <v>241</v>
      </c>
    </row>
    <row r="291" spans="1:3">
      <c r="A291" s="18">
        <v>291</v>
      </c>
      <c r="B291" s="19"/>
      <c r="C291" s="18" t="s">
        <v>36</v>
      </c>
    </row>
    <row r="292" spans="1:3">
      <c r="A292" s="20">
        <v>292</v>
      </c>
      <c r="B292" s="21"/>
      <c r="C292" s="20" t="s">
        <v>37</v>
      </c>
    </row>
    <row r="293" spans="1:3">
      <c r="A293" s="20">
        <v>293</v>
      </c>
      <c r="B293" s="21"/>
      <c r="C293" s="20" t="s">
        <v>38</v>
      </c>
    </row>
    <row r="294" spans="1:3">
      <c r="A294" s="20">
        <v>294</v>
      </c>
      <c r="B294" s="21"/>
      <c r="C294" s="20" t="s">
        <v>39</v>
      </c>
    </row>
    <row r="295" spans="1:3">
      <c r="A295" s="20">
        <v>295</v>
      </c>
      <c r="B295" s="21"/>
      <c r="C295" s="20" t="s">
        <v>40</v>
      </c>
    </row>
    <row r="296" spans="1:3">
      <c r="A296" s="20">
        <v>296</v>
      </c>
      <c r="B296" s="21"/>
      <c r="C296" s="20" t="s">
        <v>41</v>
      </c>
    </row>
    <row r="297" spans="1:3">
      <c r="A297" s="20">
        <v>297</v>
      </c>
      <c r="B297" s="21"/>
      <c r="C297" s="20" t="s">
        <v>42</v>
      </c>
    </row>
    <row r="298" spans="1:3">
      <c r="A298" s="20">
        <v>298</v>
      </c>
      <c r="B298" s="21"/>
      <c r="C298" s="20" t="s">
        <v>43</v>
      </c>
    </row>
    <row r="299" spans="1:3">
      <c r="A299" s="20">
        <v>299</v>
      </c>
      <c r="B299" s="21"/>
      <c r="C299" s="20" t="s">
        <v>44</v>
      </c>
    </row>
    <row r="300" spans="1:3">
      <c r="A300" s="20">
        <v>300</v>
      </c>
      <c r="B300" s="21"/>
      <c r="C300" s="20" t="s">
        <v>45</v>
      </c>
    </row>
    <row r="301" spans="1:3">
      <c r="A301" s="20">
        <v>301</v>
      </c>
      <c r="B301" s="21"/>
      <c r="C301" s="20" t="s">
        <v>237</v>
      </c>
    </row>
    <row r="302" spans="1:3">
      <c r="A302" s="20">
        <v>302</v>
      </c>
      <c r="B302" s="21"/>
      <c r="C302" s="20" t="s">
        <v>20</v>
      </c>
    </row>
    <row r="303" spans="1:3">
      <c r="A303" s="20">
        <v>303</v>
      </c>
      <c r="B303" s="21"/>
      <c r="C303" s="20" t="s">
        <v>21</v>
      </c>
    </row>
    <row r="304" spans="1:3">
      <c r="A304" s="20">
        <v>304</v>
      </c>
      <c r="B304" s="21"/>
      <c r="C304" s="20" t="s">
        <v>49</v>
      </c>
    </row>
    <row r="305" spans="1:3">
      <c r="A305" s="20">
        <v>305</v>
      </c>
      <c r="B305" s="21"/>
      <c r="C305" s="20" t="s">
        <v>50</v>
      </c>
    </row>
    <row r="306" spans="1:3">
      <c r="A306" s="20">
        <v>306</v>
      </c>
      <c r="B306" s="21"/>
      <c r="C306" s="20" t="s">
        <v>51</v>
      </c>
    </row>
    <row r="307" spans="1:3">
      <c r="A307" s="20">
        <v>307</v>
      </c>
      <c r="B307" s="21"/>
      <c r="C307" s="20" t="s">
        <v>238</v>
      </c>
    </row>
    <row r="308" spans="1:3">
      <c r="A308" s="20">
        <v>308</v>
      </c>
      <c r="B308" s="21"/>
      <c r="C308" s="20" t="s">
        <v>239</v>
      </c>
    </row>
    <row r="309" spans="1:3">
      <c r="A309" s="20">
        <v>309</v>
      </c>
      <c r="B309" s="21"/>
      <c r="C309" s="20" t="s">
        <v>240</v>
      </c>
    </row>
    <row r="310" spans="1:3">
      <c r="A310" s="22">
        <v>310</v>
      </c>
      <c r="B310" s="23"/>
      <c r="C310" s="22" t="s">
        <v>241</v>
      </c>
    </row>
    <row r="311" spans="1:3">
      <c r="A311" s="18">
        <v>311</v>
      </c>
      <c r="B311" s="19"/>
      <c r="C311" s="18" t="s">
        <v>36</v>
      </c>
    </row>
    <row r="312" spans="1:3">
      <c r="A312" s="20">
        <v>312</v>
      </c>
      <c r="B312" s="21"/>
      <c r="C312" s="20" t="s">
        <v>37</v>
      </c>
    </row>
    <row r="313" spans="1:3">
      <c r="A313" s="20">
        <v>313</v>
      </c>
      <c r="B313" s="21"/>
      <c r="C313" s="20" t="s">
        <v>38</v>
      </c>
    </row>
    <row r="314" spans="1:3">
      <c r="A314" s="20">
        <v>314</v>
      </c>
      <c r="B314" s="21"/>
      <c r="C314" s="20" t="s">
        <v>39</v>
      </c>
    </row>
    <row r="315" spans="1:3">
      <c r="A315" s="20">
        <v>315</v>
      </c>
      <c r="B315" s="21"/>
      <c r="C315" s="20" t="s">
        <v>40</v>
      </c>
    </row>
    <row r="316" spans="1:3">
      <c r="A316" s="20">
        <v>316</v>
      </c>
      <c r="B316" s="21"/>
      <c r="C316" s="20" t="s">
        <v>41</v>
      </c>
    </row>
    <row r="317" spans="1:3">
      <c r="A317" s="20">
        <v>317</v>
      </c>
      <c r="B317" s="21"/>
      <c r="C317" s="20" t="s">
        <v>42</v>
      </c>
    </row>
    <row r="318" spans="1:3">
      <c r="A318" s="20">
        <v>318</v>
      </c>
      <c r="B318" s="21"/>
      <c r="C318" s="20" t="s">
        <v>43</v>
      </c>
    </row>
    <row r="319" spans="1:3">
      <c r="A319" s="20">
        <v>319</v>
      </c>
      <c r="B319" s="21"/>
      <c r="C319" s="20" t="s">
        <v>44</v>
      </c>
    </row>
    <row r="320" spans="1:3">
      <c r="A320" s="20">
        <v>320</v>
      </c>
      <c r="B320" s="21"/>
      <c r="C320" s="20" t="s">
        <v>45</v>
      </c>
    </row>
    <row r="321" spans="1:3">
      <c r="A321" s="20">
        <v>321</v>
      </c>
      <c r="B321" s="21"/>
      <c r="C321" s="20" t="s">
        <v>237</v>
      </c>
    </row>
    <row r="322" spans="1:3">
      <c r="A322" s="20">
        <v>322</v>
      </c>
      <c r="B322" s="21"/>
      <c r="C322" s="20" t="s">
        <v>20</v>
      </c>
    </row>
    <row r="323" spans="1:3">
      <c r="A323" s="20">
        <v>323</v>
      </c>
      <c r="B323" s="21"/>
      <c r="C323" s="20" t="s">
        <v>21</v>
      </c>
    </row>
    <row r="324" spans="1:3">
      <c r="A324" s="20">
        <v>324</v>
      </c>
      <c r="B324" s="21"/>
      <c r="C324" s="20" t="s">
        <v>49</v>
      </c>
    </row>
    <row r="325" spans="1:3">
      <c r="A325" s="20">
        <v>325</v>
      </c>
      <c r="B325" s="21"/>
      <c r="C325" s="20" t="s">
        <v>50</v>
      </c>
    </row>
    <row r="326" spans="1:3">
      <c r="A326" s="20">
        <v>326</v>
      </c>
      <c r="B326" s="21"/>
      <c r="C326" s="20" t="s">
        <v>51</v>
      </c>
    </row>
    <row r="327" spans="1:3">
      <c r="A327" s="20">
        <v>327</v>
      </c>
      <c r="B327" s="21"/>
      <c r="C327" s="20" t="s">
        <v>238</v>
      </c>
    </row>
    <row r="328" spans="1:3">
      <c r="A328" s="20">
        <v>328</v>
      </c>
      <c r="B328" s="21"/>
      <c r="C328" s="20" t="s">
        <v>239</v>
      </c>
    </row>
    <row r="329" spans="1:3">
      <c r="A329" s="20">
        <v>329</v>
      </c>
      <c r="B329" s="21"/>
      <c r="C329" s="20" t="s">
        <v>240</v>
      </c>
    </row>
    <row r="330" spans="1:3">
      <c r="A330" s="22">
        <v>330</v>
      </c>
      <c r="B330" s="23"/>
      <c r="C330" s="22" t="s">
        <v>241</v>
      </c>
    </row>
    <row r="331" spans="1:3">
      <c r="A331" s="18">
        <v>331</v>
      </c>
      <c r="B331" s="19"/>
      <c r="C331" s="18" t="s">
        <v>36</v>
      </c>
    </row>
    <row r="332" spans="1:3">
      <c r="A332" s="20">
        <v>332</v>
      </c>
      <c r="B332" s="21"/>
      <c r="C332" s="20" t="s">
        <v>37</v>
      </c>
    </row>
    <row r="333" spans="1:3">
      <c r="A333" s="20">
        <v>333</v>
      </c>
      <c r="B333" s="21"/>
      <c r="C333" s="20" t="s">
        <v>38</v>
      </c>
    </row>
    <row r="334" spans="1:3">
      <c r="A334" s="20">
        <v>334</v>
      </c>
      <c r="B334" s="21"/>
      <c r="C334" s="20" t="s">
        <v>39</v>
      </c>
    </row>
    <row r="335" spans="1:3">
      <c r="A335" s="20">
        <v>335</v>
      </c>
      <c r="B335" s="21"/>
      <c r="C335" s="20" t="s">
        <v>40</v>
      </c>
    </row>
    <row r="336" spans="1:3">
      <c r="A336" s="20">
        <v>336</v>
      </c>
      <c r="B336" s="21"/>
      <c r="C336" s="20" t="s">
        <v>41</v>
      </c>
    </row>
    <row r="337" spans="1:3">
      <c r="A337" s="20">
        <v>337</v>
      </c>
      <c r="B337" s="21"/>
      <c r="C337" s="20" t="s">
        <v>42</v>
      </c>
    </row>
    <row r="338" spans="1:3">
      <c r="A338" s="20">
        <v>338</v>
      </c>
      <c r="B338" s="21"/>
      <c r="C338" s="20" t="s">
        <v>43</v>
      </c>
    </row>
    <row r="339" spans="1:3">
      <c r="A339" s="20">
        <v>339</v>
      </c>
      <c r="B339" s="21"/>
      <c r="C339" s="20" t="s">
        <v>44</v>
      </c>
    </row>
    <row r="340" spans="1:3">
      <c r="A340" s="20">
        <v>340</v>
      </c>
      <c r="B340" s="21"/>
      <c r="C340" s="20" t="s">
        <v>45</v>
      </c>
    </row>
    <row r="341" spans="1:3">
      <c r="A341" s="20">
        <v>341</v>
      </c>
      <c r="B341" s="21"/>
      <c r="C341" s="20" t="s">
        <v>237</v>
      </c>
    </row>
    <row r="342" spans="1:3">
      <c r="A342" s="20">
        <v>342</v>
      </c>
      <c r="B342" s="21"/>
      <c r="C342" s="20" t="s">
        <v>20</v>
      </c>
    </row>
    <row r="343" spans="1:3">
      <c r="A343" s="20">
        <v>343</v>
      </c>
      <c r="B343" s="21"/>
      <c r="C343" s="20" t="s">
        <v>21</v>
      </c>
    </row>
    <row r="344" spans="1:3">
      <c r="A344" s="20">
        <v>344</v>
      </c>
      <c r="B344" s="21"/>
      <c r="C344" s="20" t="s">
        <v>49</v>
      </c>
    </row>
    <row r="345" spans="1:3">
      <c r="A345" s="20">
        <v>345</v>
      </c>
      <c r="B345" s="21"/>
      <c r="C345" s="20" t="s">
        <v>50</v>
      </c>
    </row>
    <row r="346" spans="1:3">
      <c r="A346" s="20">
        <v>346</v>
      </c>
      <c r="B346" s="21"/>
      <c r="C346" s="20" t="s">
        <v>51</v>
      </c>
    </row>
    <row r="347" spans="1:3">
      <c r="A347" s="20">
        <v>347</v>
      </c>
      <c r="B347" s="21"/>
      <c r="C347" s="20" t="s">
        <v>238</v>
      </c>
    </row>
    <row r="348" spans="1:3">
      <c r="A348" s="20">
        <v>348</v>
      </c>
      <c r="B348" s="21"/>
      <c r="C348" s="20" t="s">
        <v>239</v>
      </c>
    </row>
    <row r="349" spans="1:3">
      <c r="A349" s="20">
        <v>349</v>
      </c>
      <c r="B349" s="21"/>
      <c r="C349" s="20" t="s">
        <v>240</v>
      </c>
    </row>
    <row r="350" spans="1:3">
      <c r="A350" s="22">
        <v>350</v>
      </c>
      <c r="B350" s="23"/>
      <c r="C350" s="22" t="s">
        <v>241</v>
      </c>
    </row>
    <row r="351" spans="1:3">
      <c r="A351" s="18">
        <v>351</v>
      </c>
      <c r="B351" s="19"/>
      <c r="C351" s="18" t="s">
        <v>36</v>
      </c>
    </row>
    <row r="352" spans="1:3">
      <c r="A352" s="20">
        <v>352</v>
      </c>
      <c r="B352" s="21"/>
      <c r="C352" s="20" t="s">
        <v>37</v>
      </c>
    </row>
    <row r="353" spans="1:3">
      <c r="A353" s="20">
        <v>353</v>
      </c>
      <c r="B353" s="21"/>
      <c r="C353" s="20" t="s">
        <v>38</v>
      </c>
    </row>
    <row r="354" spans="1:3">
      <c r="A354" s="20">
        <v>354</v>
      </c>
      <c r="B354" s="21"/>
      <c r="C354" s="20" t="s">
        <v>39</v>
      </c>
    </row>
    <row r="355" spans="1:3">
      <c r="A355" s="20">
        <v>355</v>
      </c>
      <c r="B355" s="21"/>
      <c r="C355" s="20" t="s">
        <v>40</v>
      </c>
    </row>
    <row r="356" spans="1:3">
      <c r="A356" s="20">
        <v>356</v>
      </c>
      <c r="B356" s="21"/>
      <c r="C356" s="20" t="s">
        <v>41</v>
      </c>
    </row>
    <row r="357" spans="1:3">
      <c r="A357" s="20">
        <v>357</v>
      </c>
      <c r="B357" s="21"/>
      <c r="C357" s="20" t="s">
        <v>42</v>
      </c>
    </row>
    <row r="358" spans="1:3">
      <c r="A358" s="20">
        <v>358</v>
      </c>
      <c r="B358" s="21"/>
      <c r="C358" s="20" t="s">
        <v>43</v>
      </c>
    </row>
    <row r="359" spans="1:3">
      <c r="A359" s="20">
        <v>359</v>
      </c>
      <c r="B359" s="21"/>
      <c r="C359" s="20" t="s">
        <v>44</v>
      </c>
    </row>
    <row r="360" spans="1:3">
      <c r="A360" s="20">
        <v>360</v>
      </c>
      <c r="B360" s="21"/>
      <c r="C360" s="20" t="s">
        <v>45</v>
      </c>
    </row>
    <row r="361" spans="1:3">
      <c r="A361" s="20">
        <v>361</v>
      </c>
      <c r="B361" s="21"/>
      <c r="C361" s="20" t="s">
        <v>237</v>
      </c>
    </row>
    <row r="362" spans="1:3">
      <c r="A362" s="20">
        <v>362</v>
      </c>
      <c r="B362" s="21"/>
      <c r="C362" s="20" t="s">
        <v>20</v>
      </c>
    </row>
    <row r="363" spans="1:3">
      <c r="A363" s="20">
        <v>363</v>
      </c>
      <c r="B363" s="21"/>
      <c r="C363" s="20" t="s">
        <v>21</v>
      </c>
    </row>
    <row r="364" spans="1:3">
      <c r="A364" s="20">
        <v>364</v>
      </c>
      <c r="B364" s="21"/>
      <c r="C364" s="20" t="s">
        <v>49</v>
      </c>
    </row>
    <row r="365" spans="1:3">
      <c r="A365" s="20">
        <v>365</v>
      </c>
      <c r="B365" s="21"/>
      <c r="C365" s="20" t="s">
        <v>50</v>
      </c>
    </row>
    <row r="366" spans="1:3">
      <c r="A366" s="20">
        <v>366</v>
      </c>
      <c r="B366" s="21"/>
      <c r="C366" s="20" t="s">
        <v>51</v>
      </c>
    </row>
    <row r="367" spans="1:3">
      <c r="A367" s="20">
        <v>367</v>
      </c>
      <c r="B367" s="21"/>
      <c r="C367" s="20" t="s">
        <v>238</v>
      </c>
    </row>
    <row r="368" spans="1:3">
      <c r="A368" s="20">
        <v>368</v>
      </c>
      <c r="B368" s="21"/>
      <c r="C368" s="20" t="s">
        <v>239</v>
      </c>
    </row>
    <row r="369" spans="1:3">
      <c r="A369" s="20">
        <v>369</v>
      </c>
      <c r="B369" s="21"/>
      <c r="C369" s="20" t="s">
        <v>240</v>
      </c>
    </row>
    <row r="370" spans="1:3">
      <c r="A370" s="22">
        <v>370</v>
      </c>
      <c r="B370" s="23"/>
      <c r="C370" s="22" t="s">
        <v>241</v>
      </c>
    </row>
    <row r="371" spans="1:3">
      <c r="A371" s="18">
        <v>371</v>
      </c>
      <c r="B371" s="19"/>
      <c r="C371" s="18" t="s">
        <v>36</v>
      </c>
    </row>
    <row r="372" spans="1:3">
      <c r="A372" s="20">
        <v>372</v>
      </c>
      <c r="B372" s="21"/>
      <c r="C372" s="20" t="s">
        <v>37</v>
      </c>
    </row>
    <row r="373" spans="1:3">
      <c r="A373" s="20">
        <v>373</v>
      </c>
      <c r="B373" s="21"/>
      <c r="C373" s="20" t="s">
        <v>38</v>
      </c>
    </row>
    <row r="374" spans="1:3">
      <c r="A374" s="20">
        <v>374</v>
      </c>
      <c r="B374" s="21"/>
      <c r="C374" s="20" t="s">
        <v>39</v>
      </c>
    </row>
    <row r="375" spans="1:3">
      <c r="A375" s="20">
        <v>375</v>
      </c>
      <c r="B375" s="21"/>
      <c r="C375" s="20" t="s">
        <v>40</v>
      </c>
    </row>
    <row r="376" spans="1:3">
      <c r="A376" s="20">
        <v>376</v>
      </c>
      <c r="B376" s="21"/>
      <c r="C376" s="20" t="s">
        <v>41</v>
      </c>
    </row>
    <row r="377" spans="1:3">
      <c r="A377" s="20">
        <v>377</v>
      </c>
      <c r="B377" s="21"/>
      <c r="C377" s="20" t="s">
        <v>42</v>
      </c>
    </row>
    <row r="378" spans="1:3">
      <c r="A378" s="20">
        <v>378</v>
      </c>
      <c r="B378" s="21"/>
      <c r="C378" s="20" t="s">
        <v>43</v>
      </c>
    </row>
    <row r="379" spans="1:3">
      <c r="A379" s="20">
        <v>379</v>
      </c>
      <c r="B379" s="21"/>
      <c r="C379" s="20" t="s">
        <v>44</v>
      </c>
    </row>
    <row r="380" spans="1:3">
      <c r="A380" s="20">
        <v>380</v>
      </c>
      <c r="B380" s="21"/>
      <c r="C380" s="20" t="s">
        <v>45</v>
      </c>
    </row>
    <row r="381" spans="1:3">
      <c r="A381" s="20">
        <v>381</v>
      </c>
      <c r="B381" s="21"/>
      <c r="C381" s="20" t="s">
        <v>237</v>
      </c>
    </row>
    <row r="382" spans="1:3">
      <c r="A382" s="20">
        <v>382</v>
      </c>
      <c r="B382" s="21"/>
      <c r="C382" s="20" t="s">
        <v>20</v>
      </c>
    </row>
    <row r="383" spans="1:3">
      <c r="A383" s="20">
        <v>383</v>
      </c>
      <c r="B383" s="21"/>
      <c r="C383" s="20" t="s">
        <v>21</v>
      </c>
    </row>
    <row r="384" spans="1:3">
      <c r="A384" s="20">
        <v>384</v>
      </c>
      <c r="B384" s="21"/>
      <c r="C384" s="20" t="s">
        <v>49</v>
      </c>
    </row>
    <row r="385" spans="1:3">
      <c r="A385" s="20">
        <v>385</v>
      </c>
      <c r="B385" s="21"/>
      <c r="C385" s="20" t="s">
        <v>50</v>
      </c>
    </row>
    <row r="386" spans="1:3">
      <c r="A386" s="20">
        <v>386</v>
      </c>
      <c r="B386" s="21"/>
      <c r="C386" s="20" t="s">
        <v>51</v>
      </c>
    </row>
    <row r="387" spans="1:3">
      <c r="A387" s="20">
        <v>387</v>
      </c>
      <c r="B387" s="21"/>
      <c r="C387" s="20" t="s">
        <v>238</v>
      </c>
    </row>
    <row r="388" spans="1:3">
      <c r="A388" s="20">
        <v>388</v>
      </c>
      <c r="B388" s="21"/>
      <c r="C388" s="20" t="s">
        <v>239</v>
      </c>
    </row>
    <row r="389" spans="1:3">
      <c r="A389" s="20">
        <v>389</v>
      </c>
      <c r="B389" s="21"/>
      <c r="C389" s="20" t="s">
        <v>240</v>
      </c>
    </row>
    <row r="390" spans="1:3">
      <c r="A390" s="22">
        <v>390</v>
      </c>
      <c r="B390" s="23"/>
      <c r="C390" s="22" t="s">
        <v>241</v>
      </c>
    </row>
    <row r="391" spans="1:3">
      <c r="A391" s="18">
        <v>391</v>
      </c>
      <c r="B391" s="19"/>
      <c r="C391" s="18" t="s">
        <v>36</v>
      </c>
    </row>
    <row r="392" spans="1:3">
      <c r="A392" s="20">
        <v>392</v>
      </c>
      <c r="B392" s="21"/>
      <c r="C392" s="20" t="s">
        <v>37</v>
      </c>
    </row>
    <row r="393" spans="1:3">
      <c r="A393" s="20">
        <v>393</v>
      </c>
      <c r="B393" s="21"/>
      <c r="C393" s="20" t="s">
        <v>38</v>
      </c>
    </row>
    <row r="394" spans="1:3">
      <c r="A394" s="20">
        <v>394</v>
      </c>
      <c r="B394" s="21"/>
      <c r="C394" s="20" t="s">
        <v>39</v>
      </c>
    </row>
    <row r="395" spans="1:3">
      <c r="A395" s="20">
        <v>395</v>
      </c>
      <c r="B395" s="21"/>
      <c r="C395" s="20" t="s">
        <v>40</v>
      </c>
    </row>
    <row r="396" spans="1:3">
      <c r="A396" s="20">
        <v>396</v>
      </c>
      <c r="B396" s="21"/>
      <c r="C396" s="20" t="s">
        <v>41</v>
      </c>
    </row>
    <row r="397" spans="1:3">
      <c r="A397" s="20">
        <v>397</v>
      </c>
      <c r="B397" s="21"/>
      <c r="C397" s="20" t="s">
        <v>42</v>
      </c>
    </row>
    <row r="398" spans="1:3">
      <c r="A398" s="20">
        <v>398</v>
      </c>
      <c r="B398" s="21"/>
      <c r="C398" s="20" t="s">
        <v>43</v>
      </c>
    </row>
    <row r="399" spans="1:3">
      <c r="A399" s="20">
        <v>399</v>
      </c>
      <c r="B399" s="21"/>
      <c r="C399" s="20" t="s">
        <v>44</v>
      </c>
    </row>
    <row r="400" spans="1:3">
      <c r="A400" s="20">
        <v>400</v>
      </c>
      <c r="B400" s="21"/>
      <c r="C400" s="20" t="s">
        <v>45</v>
      </c>
    </row>
    <row r="401" spans="1:3">
      <c r="A401" s="20">
        <v>401</v>
      </c>
      <c r="B401" s="21"/>
      <c r="C401" s="20" t="s">
        <v>237</v>
      </c>
    </row>
    <row r="402" spans="1:3">
      <c r="A402" s="20">
        <v>402</v>
      </c>
      <c r="B402" s="21"/>
      <c r="C402" s="20" t="s">
        <v>20</v>
      </c>
    </row>
    <row r="403" spans="1:3">
      <c r="A403" s="20">
        <v>403</v>
      </c>
      <c r="B403" s="21"/>
      <c r="C403" s="20" t="s">
        <v>21</v>
      </c>
    </row>
    <row r="404" spans="1:3">
      <c r="A404" s="20">
        <v>404</v>
      </c>
      <c r="B404" s="21"/>
      <c r="C404" s="20" t="s">
        <v>49</v>
      </c>
    </row>
    <row r="405" spans="1:3">
      <c r="A405" s="20">
        <v>405</v>
      </c>
      <c r="B405" s="21"/>
      <c r="C405" s="20" t="s">
        <v>50</v>
      </c>
    </row>
    <row r="406" spans="1:3">
      <c r="A406" s="20">
        <v>406</v>
      </c>
      <c r="B406" s="21"/>
      <c r="C406" s="20" t="s">
        <v>51</v>
      </c>
    </row>
    <row r="407" spans="1:3">
      <c r="A407" s="20">
        <v>407</v>
      </c>
      <c r="B407" s="21"/>
      <c r="C407" s="20" t="s">
        <v>238</v>
      </c>
    </row>
    <row r="408" spans="1:3">
      <c r="A408" s="20">
        <v>408</v>
      </c>
      <c r="B408" s="21"/>
      <c r="C408" s="20" t="s">
        <v>239</v>
      </c>
    </row>
    <row r="409" spans="1:3">
      <c r="A409" s="20">
        <v>409</v>
      </c>
      <c r="B409" s="21"/>
      <c r="C409" s="20" t="s">
        <v>240</v>
      </c>
    </row>
    <row r="410" spans="1:3">
      <c r="A410" s="22">
        <v>410</v>
      </c>
      <c r="B410" s="23"/>
      <c r="C410" s="22" t="s">
        <v>241</v>
      </c>
    </row>
    <row r="411" spans="1:3">
      <c r="A411" s="18">
        <v>411</v>
      </c>
      <c r="B411" s="19"/>
      <c r="C411" s="18" t="s">
        <v>36</v>
      </c>
    </row>
    <row r="412" spans="1:3">
      <c r="A412" s="20">
        <v>412</v>
      </c>
      <c r="B412" s="21"/>
      <c r="C412" s="20" t="s">
        <v>37</v>
      </c>
    </row>
    <row r="413" spans="1:3">
      <c r="A413" s="20">
        <v>413</v>
      </c>
      <c r="B413" s="21"/>
      <c r="C413" s="20" t="s">
        <v>38</v>
      </c>
    </row>
    <row r="414" spans="1:3">
      <c r="A414" s="20">
        <v>414</v>
      </c>
      <c r="B414" s="21"/>
      <c r="C414" s="20" t="s">
        <v>39</v>
      </c>
    </row>
    <row r="415" spans="1:3">
      <c r="A415" s="20">
        <v>415</v>
      </c>
      <c r="B415" s="21"/>
      <c r="C415" s="20" t="s">
        <v>40</v>
      </c>
    </row>
    <row r="416" spans="1:3">
      <c r="A416" s="20">
        <v>416</v>
      </c>
      <c r="B416" s="21"/>
      <c r="C416" s="20" t="s">
        <v>41</v>
      </c>
    </row>
    <row r="417" spans="1:3">
      <c r="A417" s="20">
        <v>417</v>
      </c>
      <c r="B417" s="21"/>
      <c r="C417" s="20" t="s">
        <v>42</v>
      </c>
    </row>
    <row r="418" spans="1:3">
      <c r="A418" s="20">
        <v>418</v>
      </c>
      <c r="B418" s="21"/>
      <c r="C418" s="20" t="s">
        <v>43</v>
      </c>
    </row>
    <row r="419" spans="1:3">
      <c r="A419" s="20">
        <v>419</v>
      </c>
      <c r="B419" s="21"/>
      <c r="C419" s="20" t="s">
        <v>44</v>
      </c>
    </row>
    <row r="420" spans="1:3">
      <c r="A420" s="20">
        <v>420</v>
      </c>
      <c r="B420" s="21"/>
      <c r="C420" s="20" t="s">
        <v>45</v>
      </c>
    </row>
    <row r="421" spans="1:3">
      <c r="A421" s="20">
        <v>421</v>
      </c>
      <c r="B421" s="21"/>
      <c r="C421" s="20" t="s">
        <v>237</v>
      </c>
    </row>
    <row r="422" spans="1:3">
      <c r="A422" s="20">
        <v>422</v>
      </c>
      <c r="B422" s="21"/>
      <c r="C422" s="20" t="s">
        <v>20</v>
      </c>
    </row>
    <row r="423" spans="1:3">
      <c r="A423" s="20">
        <v>423</v>
      </c>
      <c r="B423" s="21"/>
      <c r="C423" s="20" t="s">
        <v>21</v>
      </c>
    </row>
    <row r="424" spans="1:3">
      <c r="A424" s="20">
        <v>424</v>
      </c>
      <c r="B424" s="21"/>
      <c r="C424" s="20" t="s">
        <v>49</v>
      </c>
    </row>
    <row r="425" spans="1:3">
      <c r="A425" s="20">
        <v>425</v>
      </c>
      <c r="B425" s="21"/>
      <c r="C425" s="20" t="s">
        <v>50</v>
      </c>
    </row>
    <row r="426" spans="1:3">
      <c r="A426" s="20">
        <v>426</v>
      </c>
      <c r="B426" s="21"/>
      <c r="C426" s="20" t="s">
        <v>51</v>
      </c>
    </row>
    <row r="427" spans="1:3">
      <c r="A427" s="20">
        <v>427</v>
      </c>
      <c r="B427" s="21"/>
      <c r="C427" s="20" t="s">
        <v>238</v>
      </c>
    </row>
    <row r="428" spans="1:3">
      <c r="A428" s="20">
        <v>428</v>
      </c>
      <c r="B428" s="21"/>
      <c r="C428" s="20" t="s">
        <v>239</v>
      </c>
    </row>
    <row r="429" spans="1:3">
      <c r="A429" s="20">
        <v>429</v>
      </c>
      <c r="B429" s="21"/>
      <c r="C429" s="20" t="s">
        <v>240</v>
      </c>
    </row>
    <row r="430" spans="1:3">
      <c r="A430" s="22">
        <v>430</v>
      </c>
      <c r="B430" s="23"/>
      <c r="C430" s="22" t="s">
        <v>241</v>
      </c>
    </row>
    <row r="431" spans="1:3">
      <c r="A431" s="17">
        <v>431</v>
      </c>
      <c r="B431" s="29" t="s">
        <v>509</v>
      </c>
      <c r="C431" s="17" t="s">
        <v>362</v>
      </c>
    </row>
    <row r="432" spans="1:3">
      <c r="A432" s="15">
        <v>432</v>
      </c>
      <c r="B432" s="26" t="s">
        <v>510</v>
      </c>
      <c r="C432" s="15" t="s">
        <v>363</v>
      </c>
    </row>
    <row r="433" spans="1:3">
      <c r="A433" s="15">
        <v>433</v>
      </c>
      <c r="B433" s="26" t="s">
        <v>511</v>
      </c>
      <c r="C433" s="15" t="s">
        <v>364</v>
      </c>
    </row>
    <row r="434" spans="1:3">
      <c r="A434" s="15">
        <v>434</v>
      </c>
      <c r="B434" s="26"/>
      <c r="C434" s="15" t="s">
        <v>365</v>
      </c>
    </row>
    <row r="435" spans="1:3">
      <c r="A435" s="15">
        <v>435</v>
      </c>
      <c r="B435" s="26"/>
      <c r="C435" s="15" t="s">
        <v>366</v>
      </c>
    </row>
    <row r="436" spans="1:3">
      <c r="A436" s="15">
        <v>436</v>
      </c>
      <c r="B436" s="26">
        <v>250</v>
      </c>
      <c r="C436" s="15" t="s">
        <v>367</v>
      </c>
    </row>
    <row r="437" spans="1:3">
      <c r="A437" s="15">
        <v>437</v>
      </c>
      <c r="B437" s="26">
        <v>2</v>
      </c>
      <c r="C437" s="15" t="s">
        <v>368</v>
      </c>
    </row>
    <row r="438" spans="1:3">
      <c r="A438" s="15">
        <v>438</v>
      </c>
      <c r="B438" s="26">
        <v>500</v>
      </c>
      <c r="C438" s="15" t="s">
        <v>369</v>
      </c>
    </row>
    <row r="439" spans="1:3">
      <c r="A439" s="15">
        <v>439</v>
      </c>
      <c r="B439" s="26"/>
      <c r="C439" s="15" t="s">
        <v>370</v>
      </c>
    </row>
    <row r="440" spans="1:3">
      <c r="A440" s="15">
        <v>440</v>
      </c>
      <c r="B440" s="26"/>
      <c r="C440" s="15" t="s">
        <v>371</v>
      </c>
    </row>
    <row r="441" spans="1:3">
      <c r="A441" s="15">
        <v>441</v>
      </c>
      <c r="B441" s="26" t="s">
        <v>143</v>
      </c>
      <c r="C441" s="15" t="s">
        <v>372</v>
      </c>
    </row>
    <row r="442" spans="1:3">
      <c r="A442" s="15">
        <v>442</v>
      </c>
      <c r="B442" s="26">
        <v>80</v>
      </c>
      <c r="C442" s="15" t="s">
        <v>373</v>
      </c>
    </row>
    <row r="443" spans="1:3">
      <c r="A443" s="15">
        <v>443</v>
      </c>
      <c r="B443" s="26" t="s">
        <v>143</v>
      </c>
      <c r="C443" s="15" t="s">
        <v>374</v>
      </c>
    </row>
    <row r="444" spans="1:3">
      <c r="A444" s="15">
        <v>444</v>
      </c>
      <c r="B444" s="26"/>
      <c r="C444" s="15" t="s">
        <v>375</v>
      </c>
    </row>
    <row r="445" spans="1:3">
      <c r="A445" s="15">
        <v>445</v>
      </c>
      <c r="B445" s="26"/>
      <c r="C445" s="15" t="s">
        <v>376</v>
      </c>
    </row>
    <row r="446" spans="1:3">
      <c r="A446" s="15">
        <v>446</v>
      </c>
      <c r="B446" s="26"/>
      <c r="C446" s="15" t="s">
        <v>377</v>
      </c>
    </row>
    <row r="447" spans="1:3">
      <c r="A447" s="15">
        <v>447</v>
      </c>
      <c r="B447" s="26"/>
      <c r="C447" s="15" t="s">
        <v>378</v>
      </c>
    </row>
    <row r="448" spans="1:3">
      <c r="A448" s="15">
        <v>448</v>
      </c>
      <c r="B448" s="26"/>
      <c r="C448" s="15" t="s">
        <v>379</v>
      </c>
    </row>
    <row r="449" spans="1:3">
      <c r="A449" s="15">
        <v>449</v>
      </c>
      <c r="B449" s="26"/>
      <c r="C449" s="15" t="s">
        <v>380</v>
      </c>
    </row>
    <row r="450" spans="1:3">
      <c r="A450" s="115">
        <v>450</v>
      </c>
      <c r="B450" s="116"/>
      <c r="C450" s="115" t="s">
        <v>381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3" customWidth="1"/>
  </cols>
  <sheetData>
    <row r="1" spans="1:4" ht="16.5">
      <c r="A1" s="12" t="s">
        <v>0</v>
      </c>
      <c r="B1" s="13" t="s">
        <v>3</v>
      </c>
      <c r="C1" s="13" t="s">
        <v>4</v>
      </c>
      <c r="D1" s="14" t="s">
        <v>1</v>
      </c>
    </row>
    <row r="2" spans="1:4">
      <c r="A2" s="8">
        <v>1000</v>
      </c>
      <c r="B2" s="2">
        <v>21</v>
      </c>
      <c r="C2" s="2">
        <v>20</v>
      </c>
      <c r="D2" s="5">
        <f>IF(AND(A2&gt;=B2,A2&lt;B3),C2,0)</f>
        <v>0</v>
      </c>
    </row>
    <row r="3" spans="1:4">
      <c r="A3" s="4">
        <f>A2</f>
        <v>1000</v>
      </c>
      <c r="B3" s="2">
        <v>281</v>
      </c>
      <c r="C3" s="2">
        <v>80</v>
      </c>
      <c r="D3" s="5">
        <f t="shared" ref="D3:D9" si="0">IF(AND(A3&gt;=B3,A3&lt;B4),C3,0)</f>
        <v>80</v>
      </c>
    </row>
    <row r="4" spans="1:4">
      <c r="A4" s="4">
        <f>A2</f>
        <v>1000</v>
      </c>
      <c r="B4" s="2">
        <v>1201</v>
      </c>
      <c r="C4" s="2">
        <v>125</v>
      </c>
      <c r="D4" s="5">
        <f t="shared" si="0"/>
        <v>0</v>
      </c>
    </row>
    <row r="5" spans="1:4">
      <c r="A5" s="4">
        <f>A2</f>
        <v>1000</v>
      </c>
      <c r="B5" s="2">
        <v>3201</v>
      </c>
      <c r="C5" s="2">
        <v>200</v>
      </c>
      <c r="D5" s="5">
        <f t="shared" si="0"/>
        <v>0</v>
      </c>
    </row>
    <row r="6" spans="1:4">
      <c r="A6" s="4">
        <f>A2</f>
        <v>1000</v>
      </c>
      <c r="B6" s="2">
        <v>10001</v>
      </c>
      <c r="C6" s="2">
        <v>315</v>
      </c>
      <c r="D6" s="5">
        <f t="shared" si="0"/>
        <v>0</v>
      </c>
    </row>
    <row r="7" spans="1:4">
      <c r="A7" s="4">
        <f>A2</f>
        <v>1000</v>
      </c>
      <c r="B7" s="2">
        <v>35001</v>
      </c>
      <c r="C7" s="2">
        <v>500</v>
      </c>
      <c r="D7" s="5">
        <f t="shared" si="0"/>
        <v>0</v>
      </c>
    </row>
    <row r="8" spans="1:4">
      <c r="A8" s="4">
        <f>A2</f>
        <v>1000</v>
      </c>
      <c r="B8" s="2">
        <v>150001</v>
      </c>
      <c r="C8" s="2">
        <v>800</v>
      </c>
      <c r="D8" s="5">
        <f t="shared" si="0"/>
        <v>0</v>
      </c>
    </row>
    <row r="9" spans="1:4" ht="13.5" thickBot="1">
      <c r="A9" s="6">
        <f>A2</f>
        <v>1000</v>
      </c>
      <c r="B9" s="7">
        <v>500001</v>
      </c>
      <c r="C9" s="7">
        <v>1250</v>
      </c>
      <c r="D9" s="9">
        <f t="shared" si="0"/>
        <v>0</v>
      </c>
    </row>
    <row r="10" spans="1:4" ht="17" thickBot="1">
      <c r="C10" s="11" t="s">
        <v>2</v>
      </c>
      <c r="D10" s="10">
        <f>SUM(D2:D9)</f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FA19-DC82-4E6A-8453-AAFD6237D8B1}">
  <sheetPr codeName="Sheet20"/>
  <dimension ref="A1:V68"/>
  <sheetViews>
    <sheetView showGridLines="0" tabSelected="1" zoomScale="70" zoomScaleNormal="70" workbookViewId="0">
      <selection activeCell="AA10" sqref="AA10"/>
    </sheetView>
  </sheetViews>
  <sheetFormatPr defaultRowHeight="17.5"/>
  <cols>
    <col min="1" max="1" width="0.6328125" style="33" customWidth="1"/>
    <col min="2" max="2" width="8.26953125" style="33" customWidth="1"/>
    <col min="3" max="3" width="9.36328125" style="33" customWidth="1"/>
    <col min="4" max="4" width="9.453125" style="33" customWidth="1"/>
    <col min="5" max="5" width="9.36328125" style="33" customWidth="1"/>
    <col min="6" max="6" width="4.7265625" style="33" customWidth="1"/>
    <col min="7" max="7" width="5.7265625" style="33" customWidth="1"/>
    <col min="8" max="8" width="0.90625" style="33" customWidth="1"/>
    <col min="9" max="12" width="11.26953125" style="33" customWidth="1"/>
    <col min="13" max="13" width="10.08984375" style="33" customWidth="1"/>
    <col min="14" max="14" width="1.08984375" style="33" customWidth="1"/>
    <col min="15" max="20" width="11.26953125" style="33" customWidth="1"/>
    <col min="21" max="21" width="7.26953125" style="33" customWidth="1"/>
    <col min="22" max="22" width="5.08984375" style="33" customWidth="1"/>
    <col min="23" max="34" width="6.6328125" style="33" customWidth="1"/>
    <col min="35" max="260" width="8.7265625" style="33"/>
    <col min="261" max="261" width="10.6328125" style="33" customWidth="1"/>
    <col min="262" max="264" width="10.90625" style="33" customWidth="1"/>
    <col min="265" max="267" width="16.7265625" style="33" customWidth="1"/>
    <col min="268" max="270" width="9.36328125" style="33" customWidth="1"/>
    <col min="271" max="516" width="8.7265625" style="33"/>
    <col min="517" max="517" width="10.6328125" style="33" customWidth="1"/>
    <col min="518" max="520" width="10.90625" style="33" customWidth="1"/>
    <col min="521" max="523" width="16.7265625" style="33" customWidth="1"/>
    <col min="524" max="526" width="9.36328125" style="33" customWidth="1"/>
    <col min="527" max="772" width="8.7265625" style="33"/>
    <col min="773" max="773" width="10.6328125" style="33" customWidth="1"/>
    <col min="774" max="776" width="10.90625" style="33" customWidth="1"/>
    <col min="777" max="779" width="16.7265625" style="33" customWidth="1"/>
    <col min="780" max="782" width="9.36328125" style="33" customWidth="1"/>
    <col min="783" max="1028" width="8.7265625" style="33"/>
    <col min="1029" max="1029" width="10.6328125" style="33" customWidth="1"/>
    <col min="1030" max="1032" width="10.90625" style="33" customWidth="1"/>
    <col min="1033" max="1035" width="16.7265625" style="33" customWidth="1"/>
    <col min="1036" max="1038" width="9.36328125" style="33" customWidth="1"/>
    <col min="1039" max="1284" width="8.7265625" style="33"/>
    <col min="1285" max="1285" width="10.6328125" style="33" customWidth="1"/>
    <col min="1286" max="1288" width="10.90625" style="33" customWidth="1"/>
    <col min="1289" max="1291" width="16.7265625" style="33" customWidth="1"/>
    <col min="1292" max="1294" width="9.36328125" style="33" customWidth="1"/>
    <col min="1295" max="1540" width="8.7265625" style="33"/>
    <col min="1541" max="1541" width="10.6328125" style="33" customWidth="1"/>
    <col min="1542" max="1544" width="10.90625" style="33" customWidth="1"/>
    <col min="1545" max="1547" width="16.7265625" style="33" customWidth="1"/>
    <col min="1548" max="1550" width="9.36328125" style="33" customWidth="1"/>
    <col min="1551" max="1796" width="8.7265625" style="33"/>
    <col min="1797" max="1797" width="10.6328125" style="33" customWidth="1"/>
    <col min="1798" max="1800" width="10.90625" style="33" customWidth="1"/>
    <col min="1801" max="1803" width="16.7265625" style="33" customWidth="1"/>
    <col min="1804" max="1806" width="9.36328125" style="33" customWidth="1"/>
    <col min="1807" max="2052" width="8.7265625" style="33"/>
    <col min="2053" max="2053" width="10.6328125" style="33" customWidth="1"/>
    <col min="2054" max="2056" width="10.90625" style="33" customWidth="1"/>
    <col min="2057" max="2059" width="16.7265625" style="33" customWidth="1"/>
    <col min="2060" max="2062" width="9.36328125" style="33" customWidth="1"/>
    <col min="2063" max="2308" width="8.7265625" style="33"/>
    <col min="2309" max="2309" width="10.6328125" style="33" customWidth="1"/>
    <col min="2310" max="2312" width="10.90625" style="33" customWidth="1"/>
    <col min="2313" max="2315" width="16.7265625" style="33" customWidth="1"/>
    <col min="2316" max="2318" width="9.36328125" style="33" customWidth="1"/>
    <col min="2319" max="2564" width="8.7265625" style="33"/>
    <col min="2565" max="2565" width="10.6328125" style="33" customWidth="1"/>
    <col min="2566" max="2568" width="10.90625" style="33" customWidth="1"/>
    <col min="2569" max="2571" width="16.7265625" style="33" customWidth="1"/>
    <col min="2572" max="2574" width="9.36328125" style="33" customWidth="1"/>
    <col min="2575" max="2820" width="8.7265625" style="33"/>
    <col min="2821" max="2821" width="10.6328125" style="33" customWidth="1"/>
    <col min="2822" max="2824" width="10.90625" style="33" customWidth="1"/>
    <col min="2825" max="2827" width="16.7265625" style="33" customWidth="1"/>
    <col min="2828" max="2830" width="9.36328125" style="33" customWidth="1"/>
    <col min="2831" max="3076" width="8.7265625" style="33"/>
    <col min="3077" max="3077" width="10.6328125" style="33" customWidth="1"/>
    <col min="3078" max="3080" width="10.90625" style="33" customWidth="1"/>
    <col min="3081" max="3083" width="16.7265625" style="33" customWidth="1"/>
    <col min="3084" max="3086" width="9.36328125" style="33" customWidth="1"/>
    <col min="3087" max="3332" width="8.7265625" style="33"/>
    <col min="3333" max="3333" width="10.6328125" style="33" customWidth="1"/>
    <col min="3334" max="3336" width="10.90625" style="33" customWidth="1"/>
    <col min="3337" max="3339" width="16.7265625" style="33" customWidth="1"/>
    <col min="3340" max="3342" width="9.36328125" style="33" customWidth="1"/>
    <col min="3343" max="3588" width="8.7265625" style="33"/>
    <col min="3589" max="3589" width="10.6328125" style="33" customWidth="1"/>
    <col min="3590" max="3592" width="10.90625" style="33" customWidth="1"/>
    <col min="3593" max="3595" width="16.7265625" style="33" customWidth="1"/>
    <col min="3596" max="3598" width="9.36328125" style="33" customWidth="1"/>
    <col min="3599" max="3844" width="8.7265625" style="33"/>
    <col min="3845" max="3845" width="10.6328125" style="33" customWidth="1"/>
    <col min="3846" max="3848" width="10.90625" style="33" customWidth="1"/>
    <col min="3849" max="3851" width="16.7265625" style="33" customWidth="1"/>
    <col min="3852" max="3854" width="9.36328125" style="33" customWidth="1"/>
    <col min="3855" max="4100" width="8.7265625" style="33"/>
    <col min="4101" max="4101" width="10.6328125" style="33" customWidth="1"/>
    <col min="4102" max="4104" width="10.90625" style="33" customWidth="1"/>
    <col min="4105" max="4107" width="16.7265625" style="33" customWidth="1"/>
    <col min="4108" max="4110" width="9.36328125" style="33" customWidth="1"/>
    <col min="4111" max="4356" width="8.7265625" style="33"/>
    <col min="4357" max="4357" width="10.6328125" style="33" customWidth="1"/>
    <col min="4358" max="4360" width="10.90625" style="33" customWidth="1"/>
    <col min="4361" max="4363" width="16.7265625" style="33" customWidth="1"/>
    <col min="4364" max="4366" width="9.36328125" style="33" customWidth="1"/>
    <col min="4367" max="4612" width="8.7265625" style="33"/>
    <col min="4613" max="4613" width="10.6328125" style="33" customWidth="1"/>
    <col min="4614" max="4616" width="10.90625" style="33" customWidth="1"/>
    <col min="4617" max="4619" width="16.7265625" style="33" customWidth="1"/>
    <col min="4620" max="4622" width="9.36328125" style="33" customWidth="1"/>
    <col min="4623" max="4868" width="8.7265625" style="33"/>
    <col min="4869" max="4869" width="10.6328125" style="33" customWidth="1"/>
    <col min="4870" max="4872" width="10.90625" style="33" customWidth="1"/>
    <col min="4873" max="4875" width="16.7265625" style="33" customWidth="1"/>
    <col min="4876" max="4878" width="9.36328125" style="33" customWidth="1"/>
    <col min="4879" max="5124" width="8.7265625" style="33"/>
    <col min="5125" max="5125" width="10.6328125" style="33" customWidth="1"/>
    <col min="5126" max="5128" width="10.90625" style="33" customWidth="1"/>
    <col min="5129" max="5131" width="16.7265625" style="33" customWidth="1"/>
    <col min="5132" max="5134" width="9.36328125" style="33" customWidth="1"/>
    <col min="5135" max="5380" width="8.7265625" style="33"/>
    <col min="5381" max="5381" width="10.6328125" style="33" customWidth="1"/>
    <col min="5382" max="5384" width="10.90625" style="33" customWidth="1"/>
    <col min="5385" max="5387" width="16.7265625" style="33" customWidth="1"/>
    <col min="5388" max="5390" width="9.36328125" style="33" customWidth="1"/>
    <col min="5391" max="5636" width="8.7265625" style="33"/>
    <col min="5637" max="5637" width="10.6328125" style="33" customWidth="1"/>
    <col min="5638" max="5640" width="10.90625" style="33" customWidth="1"/>
    <col min="5641" max="5643" width="16.7265625" style="33" customWidth="1"/>
    <col min="5644" max="5646" width="9.36328125" style="33" customWidth="1"/>
    <col min="5647" max="5892" width="8.7265625" style="33"/>
    <col min="5893" max="5893" width="10.6328125" style="33" customWidth="1"/>
    <col min="5894" max="5896" width="10.90625" style="33" customWidth="1"/>
    <col min="5897" max="5899" width="16.7265625" style="33" customWidth="1"/>
    <col min="5900" max="5902" width="9.36328125" style="33" customWidth="1"/>
    <col min="5903" max="6148" width="8.7265625" style="33"/>
    <col min="6149" max="6149" width="10.6328125" style="33" customWidth="1"/>
    <col min="6150" max="6152" width="10.90625" style="33" customWidth="1"/>
    <col min="6153" max="6155" width="16.7265625" style="33" customWidth="1"/>
    <col min="6156" max="6158" width="9.36328125" style="33" customWidth="1"/>
    <col min="6159" max="6404" width="8.7265625" style="33"/>
    <col min="6405" max="6405" width="10.6328125" style="33" customWidth="1"/>
    <col min="6406" max="6408" width="10.90625" style="33" customWidth="1"/>
    <col min="6409" max="6411" width="16.7265625" style="33" customWidth="1"/>
    <col min="6412" max="6414" width="9.36328125" style="33" customWidth="1"/>
    <col min="6415" max="6660" width="8.7265625" style="33"/>
    <col min="6661" max="6661" width="10.6328125" style="33" customWidth="1"/>
    <col min="6662" max="6664" width="10.90625" style="33" customWidth="1"/>
    <col min="6665" max="6667" width="16.7265625" style="33" customWidth="1"/>
    <col min="6668" max="6670" width="9.36328125" style="33" customWidth="1"/>
    <col min="6671" max="6916" width="8.7265625" style="33"/>
    <col min="6917" max="6917" width="10.6328125" style="33" customWidth="1"/>
    <col min="6918" max="6920" width="10.90625" style="33" customWidth="1"/>
    <col min="6921" max="6923" width="16.7265625" style="33" customWidth="1"/>
    <col min="6924" max="6926" width="9.36328125" style="33" customWidth="1"/>
    <col min="6927" max="7172" width="8.7265625" style="33"/>
    <col min="7173" max="7173" width="10.6328125" style="33" customWidth="1"/>
    <col min="7174" max="7176" width="10.90625" style="33" customWidth="1"/>
    <col min="7177" max="7179" width="16.7265625" style="33" customWidth="1"/>
    <col min="7180" max="7182" width="9.36328125" style="33" customWidth="1"/>
    <col min="7183" max="7428" width="8.7265625" style="33"/>
    <col min="7429" max="7429" width="10.6328125" style="33" customWidth="1"/>
    <col min="7430" max="7432" width="10.90625" style="33" customWidth="1"/>
    <col min="7433" max="7435" width="16.7265625" style="33" customWidth="1"/>
    <col min="7436" max="7438" width="9.36328125" style="33" customWidth="1"/>
    <col min="7439" max="7684" width="8.7265625" style="33"/>
    <col min="7685" max="7685" width="10.6328125" style="33" customWidth="1"/>
    <col min="7686" max="7688" width="10.90625" style="33" customWidth="1"/>
    <col min="7689" max="7691" width="16.7265625" style="33" customWidth="1"/>
    <col min="7692" max="7694" width="9.36328125" style="33" customWidth="1"/>
    <col min="7695" max="7940" width="8.7265625" style="33"/>
    <col min="7941" max="7941" width="10.6328125" style="33" customWidth="1"/>
    <col min="7942" max="7944" width="10.90625" style="33" customWidth="1"/>
    <col min="7945" max="7947" width="16.7265625" style="33" customWidth="1"/>
    <col min="7948" max="7950" width="9.36328125" style="33" customWidth="1"/>
    <col min="7951" max="8196" width="8.7265625" style="33"/>
    <col min="8197" max="8197" width="10.6328125" style="33" customWidth="1"/>
    <col min="8198" max="8200" width="10.90625" style="33" customWidth="1"/>
    <col min="8201" max="8203" width="16.7265625" style="33" customWidth="1"/>
    <col min="8204" max="8206" width="9.36328125" style="33" customWidth="1"/>
    <col min="8207" max="8452" width="8.7265625" style="33"/>
    <col min="8453" max="8453" width="10.6328125" style="33" customWidth="1"/>
    <col min="8454" max="8456" width="10.90625" style="33" customWidth="1"/>
    <col min="8457" max="8459" width="16.7265625" style="33" customWidth="1"/>
    <col min="8460" max="8462" width="9.36328125" style="33" customWidth="1"/>
    <col min="8463" max="8708" width="8.7265625" style="33"/>
    <col min="8709" max="8709" width="10.6328125" style="33" customWidth="1"/>
    <col min="8710" max="8712" width="10.90625" style="33" customWidth="1"/>
    <col min="8713" max="8715" width="16.7265625" style="33" customWidth="1"/>
    <col min="8716" max="8718" width="9.36328125" style="33" customWidth="1"/>
    <col min="8719" max="8964" width="8.7265625" style="33"/>
    <col min="8965" max="8965" width="10.6328125" style="33" customWidth="1"/>
    <col min="8966" max="8968" width="10.90625" style="33" customWidth="1"/>
    <col min="8969" max="8971" width="16.7265625" style="33" customWidth="1"/>
    <col min="8972" max="8974" width="9.36328125" style="33" customWidth="1"/>
    <col min="8975" max="9220" width="8.7265625" style="33"/>
    <col min="9221" max="9221" width="10.6328125" style="33" customWidth="1"/>
    <col min="9222" max="9224" width="10.90625" style="33" customWidth="1"/>
    <col min="9225" max="9227" width="16.7265625" style="33" customWidth="1"/>
    <col min="9228" max="9230" width="9.36328125" style="33" customWidth="1"/>
    <col min="9231" max="9476" width="8.7265625" style="33"/>
    <col min="9477" max="9477" width="10.6328125" style="33" customWidth="1"/>
    <col min="9478" max="9480" width="10.90625" style="33" customWidth="1"/>
    <col min="9481" max="9483" width="16.7265625" style="33" customWidth="1"/>
    <col min="9484" max="9486" width="9.36328125" style="33" customWidth="1"/>
    <col min="9487" max="9732" width="8.7265625" style="33"/>
    <col min="9733" max="9733" width="10.6328125" style="33" customWidth="1"/>
    <col min="9734" max="9736" width="10.90625" style="33" customWidth="1"/>
    <col min="9737" max="9739" width="16.7265625" style="33" customWidth="1"/>
    <col min="9740" max="9742" width="9.36328125" style="33" customWidth="1"/>
    <col min="9743" max="9988" width="8.7265625" style="33"/>
    <col min="9989" max="9989" width="10.6328125" style="33" customWidth="1"/>
    <col min="9990" max="9992" width="10.90625" style="33" customWidth="1"/>
    <col min="9993" max="9995" width="16.7265625" style="33" customWidth="1"/>
    <col min="9996" max="9998" width="9.36328125" style="33" customWidth="1"/>
    <col min="9999" max="10244" width="8.7265625" style="33"/>
    <col min="10245" max="10245" width="10.6328125" style="33" customWidth="1"/>
    <col min="10246" max="10248" width="10.90625" style="33" customWidth="1"/>
    <col min="10249" max="10251" width="16.7265625" style="33" customWidth="1"/>
    <col min="10252" max="10254" width="9.36328125" style="33" customWidth="1"/>
    <col min="10255" max="10500" width="8.7265625" style="33"/>
    <col min="10501" max="10501" width="10.6328125" style="33" customWidth="1"/>
    <col min="10502" max="10504" width="10.90625" style="33" customWidth="1"/>
    <col min="10505" max="10507" width="16.7265625" style="33" customWidth="1"/>
    <col min="10508" max="10510" width="9.36328125" style="33" customWidth="1"/>
    <col min="10511" max="10756" width="8.7265625" style="33"/>
    <col min="10757" max="10757" width="10.6328125" style="33" customWidth="1"/>
    <col min="10758" max="10760" width="10.90625" style="33" customWidth="1"/>
    <col min="10761" max="10763" width="16.7265625" style="33" customWidth="1"/>
    <col min="10764" max="10766" width="9.36328125" style="33" customWidth="1"/>
    <col min="10767" max="11012" width="8.7265625" style="33"/>
    <col min="11013" max="11013" width="10.6328125" style="33" customWidth="1"/>
    <col min="11014" max="11016" width="10.90625" style="33" customWidth="1"/>
    <col min="11017" max="11019" width="16.7265625" style="33" customWidth="1"/>
    <col min="11020" max="11022" width="9.36328125" style="33" customWidth="1"/>
    <col min="11023" max="11268" width="8.7265625" style="33"/>
    <col min="11269" max="11269" width="10.6328125" style="33" customWidth="1"/>
    <col min="11270" max="11272" width="10.90625" style="33" customWidth="1"/>
    <col min="11273" max="11275" width="16.7265625" style="33" customWidth="1"/>
    <col min="11276" max="11278" width="9.36328125" style="33" customWidth="1"/>
    <col min="11279" max="11524" width="8.7265625" style="33"/>
    <col min="11525" max="11525" width="10.6328125" style="33" customWidth="1"/>
    <col min="11526" max="11528" width="10.90625" style="33" customWidth="1"/>
    <col min="11529" max="11531" width="16.7265625" style="33" customWidth="1"/>
    <col min="11532" max="11534" width="9.36328125" style="33" customWidth="1"/>
    <col min="11535" max="11780" width="8.7265625" style="33"/>
    <col min="11781" max="11781" width="10.6328125" style="33" customWidth="1"/>
    <col min="11782" max="11784" width="10.90625" style="33" customWidth="1"/>
    <col min="11785" max="11787" width="16.7265625" style="33" customWidth="1"/>
    <col min="11788" max="11790" width="9.36328125" style="33" customWidth="1"/>
    <col min="11791" max="12036" width="8.7265625" style="33"/>
    <col min="12037" max="12037" width="10.6328125" style="33" customWidth="1"/>
    <col min="12038" max="12040" width="10.90625" style="33" customWidth="1"/>
    <col min="12041" max="12043" width="16.7265625" style="33" customWidth="1"/>
    <col min="12044" max="12046" width="9.36328125" style="33" customWidth="1"/>
    <col min="12047" max="12292" width="8.7265625" style="33"/>
    <col min="12293" max="12293" width="10.6328125" style="33" customWidth="1"/>
    <col min="12294" max="12296" width="10.90625" style="33" customWidth="1"/>
    <col min="12297" max="12299" width="16.7265625" style="33" customWidth="1"/>
    <col min="12300" max="12302" width="9.36328125" style="33" customWidth="1"/>
    <col min="12303" max="12548" width="8.7265625" style="33"/>
    <col min="12549" max="12549" width="10.6328125" style="33" customWidth="1"/>
    <col min="12550" max="12552" width="10.90625" style="33" customWidth="1"/>
    <col min="12553" max="12555" width="16.7265625" style="33" customWidth="1"/>
    <col min="12556" max="12558" width="9.36328125" style="33" customWidth="1"/>
    <col min="12559" max="12804" width="8.7265625" style="33"/>
    <col min="12805" max="12805" width="10.6328125" style="33" customWidth="1"/>
    <col min="12806" max="12808" width="10.90625" style="33" customWidth="1"/>
    <col min="12809" max="12811" width="16.7265625" style="33" customWidth="1"/>
    <col min="12812" max="12814" width="9.36328125" style="33" customWidth="1"/>
    <col min="12815" max="13060" width="8.7265625" style="33"/>
    <col min="13061" max="13061" width="10.6328125" style="33" customWidth="1"/>
    <col min="13062" max="13064" width="10.90625" style="33" customWidth="1"/>
    <col min="13065" max="13067" width="16.7265625" style="33" customWidth="1"/>
    <col min="13068" max="13070" width="9.36328125" style="33" customWidth="1"/>
    <col min="13071" max="13316" width="8.7265625" style="33"/>
    <col min="13317" max="13317" width="10.6328125" style="33" customWidth="1"/>
    <col min="13318" max="13320" width="10.90625" style="33" customWidth="1"/>
    <col min="13321" max="13323" width="16.7265625" style="33" customWidth="1"/>
    <col min="13324" max="13326" width="9.36328125" style="33" customWidth="1"/>
    <col min="13327" max="13572" width="8.7265625" style="33"/>
    <col min="13573" max="13573" width="10.6328125" style="33" customWidth="1"/>
    <col min="13574" max="13576" width="10.90625" style="33" customWidth="1"/>
    <col min="13577" max="13579" width="16.7265625" style="33" customWidth="1"/>
    <col min="13580" max="13582" width="9.36328125" style="33" customWidth="1"/>
    <col min="13583" max="13828" width="8.7265625" style="33"/>
    <col min="13829" max="13829" width="10.6328125" style="33" customWidth="1"/>
    <col min="13830" max="13832" width="10.90625" style="33" customWidth="1"/>
    <col min="13833" max="13835" width="16.7265625" style="33" customWidth="1"/>
    <col min="13836" max="13838" width="9.36328125" style="33" customWidth="1"/>
    <col min="13839" max="14084" width="8.7265625" style="33"/>
    <col min="14085" max="14085" width="10.6328125" style="33" customWidth="1"/>
    <col min="14086" max="14088" width="10.90625" style="33" customWidth="1"/>
    <col min="14089" max="14091" width="16.7265625" style="33" customWidth="1"/>
    <col min="14092" max="14094" width="9.36328125" style="33" customWidth="1"/>
    <col min="14095" max="14340" width="8.7265625" style="33"/>
    <col min="14341" max="14341" width="10.6328125" style="33" customWidth="1"/>
    <col min="14342" max="14344" width="10.90625" style="33" customWidth="1"/>
    <col min="14345" max="14347" width="16.7265625" style="33" customWidth="1"/>
    <col min="14348" max="14350" width="9.36328125" style="33" customWidth="1"/>
    <col min="14351" max="14596" width="8.7265625" style="33"/>
    <col min="14597" max="14597" width="10.6328125" style="33" customWidth="1"/>
    <col min="14598" max="14600" width="10.90625" style="33" customWidth="1"/>
    <col min="14601" max="14603" width="16.7265625" style="33" customWidth="1"/>
    <col min="14604" max="14606" width="9.36328125" style="33" customWidth="1"/>
    <col min="14607" max="14852" width="8.7265625" style="33"/>
    <col min="14853" max="14853" width="10.6328125" style="33" customWidth="1"/>
    <col min="14854" max="14856" width="10.90625" style="33" customWidth="1"/>
    <col min="14857" max="14859" width="16.7265625" style="33" customWidth="1"/>
    <col min="14860" max="14862" width="9.36328125" style="33" customWidth="1"/>
    <col min="14863" max="15108" width="8.7265625" style="33"/>
    <col min="15109" max="15109" width="10.6328125" style="33" customWidth="1"/>
    <col min="15110" max="15112" width="10.90625" style="33" customWidth="1"/>
    <col min="15113" max="15115" width="16.7265625" style="33" customWidth="1"/>
    <col min="15116" max="15118" width="9.36328125" style="33" customWidth="1"/>
    <col min="15119" max="15364" width="8.7265625" style="33"/>
    <col min="15365" max="15365" width="10.6328125" style="33" customWidth="1"/>
    <col min="15366" max="15368" width="10.90625" style="33" customWidth="1"/>
    <col min="15369" max="15371" width="16.7265625" style="33" customWidth="1"/>
    <col min="15372" max="15374" width="9.36328125" style="33" customWidth="1"/>
    <col min="15375" max="15620" width="8.7265625" style="33"/>
    <col min="15621" max="15621" width="10.6328125" style="33" customWidth="1"/>
    <col min="15622" max="15624" width="10.90625" style="33" customWidth="1"/>
    <col min="15625" max="15627" width="16.7265625" style="33" customWidth="1"/>
    <col min="15628" max="15630" width="9.36328125" style="33" customWidth="1"/>
    <col min="15631" max="15876" width="8.7265625" style="33"/>
    <col min="15877" max="15877" width="10.6328125" style="33" customWidth="1"/>
    <col min="15878" max="15880" width="10.90625" style="33" customWidth="1"/>
    <col min="15881" max="15883" width="16.7265625" style="33" customWidth="1"/>
    <col min="15884" max="15886" width="9.36328125" style="33" customWidth="1"/>
    <col min="15887" max="16132" width="8.7265625" style="33"/>
    <col min="16133" max="16133" width="10.6328125" style="33" customWidth="1"/>
    <col min="16134" max="16136" width="10.90625" style="33" customWidth="1"/>
    <col min="16137" max="16139" width="16.7265625" style="33" customWidth="1"/>
    <col min="16140" max="16142" width="9.36328125" style="33" customWidth="1"/>
    <col min="16143" max="16384" width="8.7265625" style="33"/>
  </cols>
  <sheetData>
    <row r="1" spans="1:22" s="31" customFormat="1" ht="18" thickBot="1">
      <c r="A1" s="30"/>
      <c r="F1" s="32"/>
      <c r="G1" s="32"/>
      <c r="H1" s="32"/>
      <c r="I1" s="32"/>
      <c r="S1" s="133" t="s">
        <v>429</v>
      </c>
      <c r="T1" s="134" t="s">
        <v>430</v>
      </c>
      <c r="U1" s="198" t="s">
        <v>431</v>
      </c>
      <c r="V1" s="199"/>
    </row>
    <row r="2" spans="1:22" s="31" customFormat="1" ht="14.15" customHeight="1">
      <c r="A2" s="30"/>
      <c r="F2" s="32"/>
      <c r="G2" s="32"/>
      <c r="H2" s="32"/>
      <c r="I2" s="32"/>
      <c r="S2" s="129"/>
      <c r="T2" s="130"/>
      <c r="U2" s="200" t="s">
        <v>426</v>
      </c>
      <c r="V2" s="201"/>
    </row>
    <row r="3" spans="1:22" ht="14.15" customHeight="1">
      <c r="D3" s="34" t="s">
        <v>68</v>
      </c>
      <c r="E3" s="34"/>
      <c r="F3" s="35"/>
      <c r="G3" s="35"/>
      <c r="H3" s="35"/>
      <c r="I3" s="35"/>
      <c r="S3" s="217" t="s">
        <v>18</v>
      </c>
      <c r="T3" s="218" t="s">
        <v>18</v>
      </c>
      <c r="U3" s="219" t="s">
        <v>18</v>
      </c>
      <c r="V3" s="220"/>
    </row>
    <row r="4" spans="1:22" ht="22.5" customHeight="1" thickBot="1">
      <c r="A4" s="36" t="s">
        <v>69</v>
      </c>
      <c r="F4" s="35"/>
      <c r="G4" s="35"/>
      <c r="H4" s="35"/>
      <c r="I4" s="35"/>
      <c r="S4" s="131" t="s">
        <v>426</v>
      </c>
      <c r="T4" s="132" t="s">
        <v>427</v>
      </c>
      <c r="U4" s="202" t="s">
        <v>428</v>
      </c>
      <c r="V4" s="203"/>
    </row>
    <row r="5" spans="1:22" ht="7.5" customHeight="1">
      <c r="A5" s="37"/>
      <c r="F5" s="38"/>
      <c r="G5" s="38"/>
      <c r="H5" s="38"/>
      <c r="I5" s="38"/>
    </row>
    <row r="6" spans="1:22" ht="15" customHeight="1">
      <c r="A6" s="39" t="s">
        <v>70</v>
      </c>
      <c r="B6" s="40"/>
      <c r="C6" s="40"/>
      <c r="D6" s="40"/>
      <c r="E6" s="40"/>
      <c r="F6" s="40"/>
      <c r="G6" s="138" t="s">
        <v>16</v>
      </c>
      <c r="H6" s="139"/>
      <c r="I6" s="139"/>
      <c r="J6" s="135"/>
      <c r="K6" s="136"/>
      <c r="L6" s="41" t="s">
        <v>71</v>
      </c>
      <c r="M6" s="42"/>
      <c r="N6" s="42"/>
      <c r="O6" s="42"/>
      <c r="P6" s="44"/>
      <c r="Q6" s="137" t="s">
        <v>18</v>
      </c>
      <c r="R6" s="40"/>
      <c r="S6" s="45"/>
      <c r="T6" s="45"/>
      <c r="U6" s="45"/>
      <c r="V6" s="46"/>
    </row>
    <row r="7" spans="1:22" ht="15" customHeight="1">
      <c r="A7" s="138" t="s">
        <v>72</v>
      </c>
      <c r="B7" s="47"/>
      <c r="C7" s="47"/>
      <c r="D7" s="47"/>
      <c r="E7" s="47"/>
      <c r="F7" s="47"/>
      <c r="G7" s="204" t="s">
        <v>139</v>
      </c>
      <c r="H7" s="205"/>
      <c r="I7" s="205"/>
      <c r="J7" s="205"/>
      <c r="K7" s="206"/>
      <c r="L7" s="48" t="s">
        <v>73</v>
      </c>
      <c r="M7" s="45"/>
      <c r="N7" s="45"/>
      <c r="O7" s="45"/>
      <c r="P7" s="49"/>
      <c r="Q7" s="48" t="s">
        <v>19</v>
      </c>
      <c r="R7" s="47"/>
      <c r="S7" s="50" t="s">
        <v>74</v>
      </c>
      <c r="T7" s="35" t="s">
        <v>35</v>
      </c>
      <c r="U7" s="35"/>
      <c r="V7" s="51" t="s">
        <v>75</v>
      </c>
    </row>
    <row r="8" spans="1:22" s="58" customFormat="1" ht="15" customHeight="1">
      <c r="A8" s="52" t="s">
        <v>76</v>
      </c>
      <c r="B8" s="53"/>
      <c r="C8" s="53"/>
      <c r="D8" s="54"/>
      <c r="E8" s="54"/>
      <c r="F8" s="54"/>
      <c r="G8" s="162" t="s">
        <v>17</v>
      </c>
      <c r="H8" s="207"/>
      <c r="I8" s="207"/>
      <c r="J8" s="158" t="s">
        <v>77</v>
      </c>
      <c r="K8" s="158"/>
      <c r="L8" s="52" t="s">
        <v>78</v>
      </c>
      <c r="M8" s="55"/>
      <c r="N8" s="55"/>
      <c r="O8" s="55"/>
      <c r="P8" s="56"/>
      <c r="Q8" s="57" t="s">
        <v>141</v>
      </c>
      <c r="R8" s="54"/>
      <c r="S8" s="55"/>
      <c r="T8" s="55"/>
      <c r="U8" s="55"/>
      <c r="V8" s="56"/>
    </row>
    <row r="9" spans="1:22" s="58" customFormat="1" ht="15" customHeight="1">
      <c r="A9" s="52" t="s">
        <v>79</v>
      </c>
      <c r="B9" s="59"/>
      <c r="C9" s="59"/>
      <c r="D9" s="54"/>
      <c r="E9" s="54"/>
      <c r="F9" s="54"/>
      <c r="G9" s="157" t="s">
        <v>140</v>
      </c>
      <c r="H9" s="158"/>
      <c r="I9" s="158"/>
      <c r="J9" s="54"/>
      <c r="K9" s="59"/>
      <c r="L9" s="60" t="s">
        <v>80</v>
      </c>
      <c r="M9" s="59"/>
      <c r="N9" s="59"/>
      <c r="O9" s="59"/>
      <c r="P9" s="56"/>
      <c r="Q9" s="61" t="s">
        <v>142</v>
      </c>
      <c r="R9" s="62"/>
      <c r="S9" s="63"/>
      <c r="T9" s="63"/>
      <c r="U9" s="63"/>
      <c r="V9" s="64"/>
    </row>
    <row r="10" spans="1:22" s="58" customFormat="1" ht="8.25" customHeight="1">
      <c r="A10" s="65"/>
      <c r="B10" s="65"/>
      <c r="C10" s="65"/>
      <c r="G10" s="65"/>
      <c r="H10" s="65"/>
      <c r="I10" s="65"/>
      <c r="K10" s="65"/>
      <c r="L10" s="65"/>
      <c r="M10" s="65"/>
      <c r="N10" s="65"/>
      <c r="O10" s="65"/>
      <c r="S10" s="65"/>
      <c r="T10" s="65"/>
      <c r="U10" s="65"/>
      <c r="V10" s="65"/>
    </row>
    <row r="11" spans="1:22" s="58" customFormat="1" ht="15" customHeight="1">
      <c r="A11" s="66" t="s">
        <v>81</v>
      </c>
      <c r="B11" s="59"/>
      <c r="C11" s="59"/>
      <c r="D11" s="59"/>
      <c r="E11" s="59"/>
      <c r="F11" s="59"/>
      <c r="G11" s="59"/>
      <c r="H11" s="59"/>
      <c r="I11" s="51"/>
      <c r="J11" s="208" t="s">
        <v>82</v>
      </c>
      <c r="K11" s="209"/>
      <c r="L11" s="210" t="s">
        <v>452</v>
      </c>
      <c r="M11" s="211"/>
      <c r="N11" s="212"/>
      <c r="O11" s="208" t="s">
        <v>83</v>
      </c>
      <c r="P11" s="213"/>
      <c r="Q11" s="213"/>
      <c r="R11" s="209"/>
      <c r="S11" s="214" t="s">
        <v>84</v>
      </c>
      <c r="T11" s="215"/>
      <c r="U11" s="215"/>
      <c r="V11" s="216"/>
    </row>
    <row r="12" spans="1:22" s="58" customFormat="1" ht="15" customHeight="1">
      <c r="A12" s="67" t="s">
        <v>85</v>
      </c>
      <c r="B12" s="68"/>
      <c r="C12" s="68"/>
      <c r="D12" s="68"/>
      <c r="E12" s="68"/>
      <c r="F12" s="68"/>
      <c r="G12" s="68"/>
      <c r="H12" s="68"/>
      <c r="I12" s="69"/>
      <c r="J12" s="157">
        <v>5</v>
      </c>
      <c r="K12" s="159"/>
      <c r="L12" s="157" t="s">
        <v>418</v>
      </c>
      <c r="M12" s="158"/>
      <c r="N12" s="159"/>
      <c r="O12" s="180" t="s">
        <v>15</v>
      </c>
      <c r="P12" s="181"/>
      <c r="Q12" s="181"/>
      <c r="R12" s="182"/>
      <c r="S12" s="189" t="s">
        <v>143</v>
      </c>
      <c r="T12" s="190"/>
      <c r="U12" s="190"/>
      <c r="V12" s="191"/>
    </row>
    <row r="13" spans="1:22" s="58" customFormat="1" ht="15" customHeight="1">
      <c r="A13" s="71" t="s">
        <v>86</v>
      </c>
      <c r="B13" s="72"/>
      <c r="C13" s="72"/>
      <c r="D13" s="72"/>
      <c r="E13" s="72"/>
      <c r="F13" s="72"/>
      <c r="G13" s="72"/>
      <c r="H13" s="72"/>
      <c r="I13" s="73"/>
      <c r="J13" s="157" t="s">
        <v>419</v>
      </c>
      <c r="K13" s="159"/>
      <c r="L13" s="157" t="s">
        <v>420</v>
      </c>
      <c r="M13" s="158"/>
      <c r="N13" s="159"/>
      <c r="O13" s="183"/>
      <c r="P13" s="184"/>
      <c r="Q13" s="184"/>
      <c r="R13" s="185"/>
      <c r="S13" s="192"/>
      <c r="T13" s="193"/>
      <c r="U13" s="193"/>
      <c r="V13" s="194"/>
    </row>
    <row r="14" spans="1:22" s="58" customFormat="1" ht="15" customHeight="1">
      <c r="A14" s="75" t="s">
        <v>87</v>
      </c>
      <c r="B14" s="68"/>
      <c r="C14" s="68"/>
      <c r="D14" s="68"/>
      <c r="E14" s="68"/>
      <c r="F14" s="68"/>
      <c r="G14" s="68" t="s">
        <v>425</v>
      </c>
      <c r="H14" s="125" t="s">
        <v>421</v>
      </c>
      <c r="I14" s="126" t="s">
        <v>422</v>
      </c>
      <c r="J14" s="157" t="str">
        <f>IF(H14=0,"-",H14)</f>
        <v>#444#</v>
      </c>
      <c r="K14" s="159"/>
      <c r="L14" s="157" t="str">
        <f>IF(I14=0,"-",I14)</f>
        <v>#445#</v>
      </c>
      <c r="M14" s="158"/>
      <c r="N14" s="159"/>
      <c r="O14" s="183"/>
      <c r="P14" s="184"/>
      <c r="Q14" s="184"/>
      <c r="R14" s="185"/>
      <c r="S14" s="192"/>
      <c r="T14" s="193"/>
      <c r="U14" s="193"/>
      <c r="V14" s="194"/>
    </row>
    <row r="15" spans="1:22" s="58" customFormat="1" ht="15" customHeight="1">
      <c r="A15" s="76" t="s">
        <v>88</v>
      </c>
      <c r="B15" s="77"/>
      <c r="C15" s="77"/>
      <c r="D15" s="77"/>
      <c r="E15" s="77"/>
      <c r="F15" s="77"/>
      <c r="G15" s="77"/>
      <c r="H15" s="127" t="s">
        <v>423</v>
      </c>
      <c r="I15" s="128" t="s">
        <v>424</v>
      </c>
      <c r="J15" s="157" t="str">
        <f>IF(H15=0,"-",H15)</f>
        <v>#446#</v>
      </c>
      <c r="K15" s="159"/>
      <c r="L15" s="157" t="str">
        <f>IF(I15=0,"-",I15)</f>
        <v>#447#</v>
      </c>
      <c r="M15" s="158"/>
      <c r="N15" s="159"/>
      <c r="O15" s="186"/>
      <c r="P15" s="187"/>
      <c r="Q15" s="187"/>
      <c r="R15" s="188"/>
      <c r="S15" s="195"/>
      <c r="T15" s="196"/>
      <c r="U15" s="196"/>
      <c r="V15" s="197"/>
    </row>
    <row r="16" spans="1:22" ht="15" customHeight="1">
      <c r="A16" s="78" t="s">
        <v>89</v>
      </c>
      <c r="B16" s="77"/>
      <c r="C16" s="77"/>
      <c r="D16" s="77"/>
      <c r="E16" s="77"/>
      <c r="F16" s="77"/>
      <c r="G16" s="77"/>
      <c r="H16" s="77"/>
      <c r="I16" s="77"/>
      <c r="J16" s="63"/>
      <c r="K16" s="63"/>
      <c r="L16" s="63"/>
      <c r="M16" s="63"/>
      <c r="N16" s="63"/>
      <c r="O16" s="63"/>
      <c r="P16" s="79"/>
      <c r="Q16" s="79"/>
      <c r="R16" s="79"/>
      <c r="S16" s="79"/>
      <c r="T16" s="79"/>
      <c r="U16" s="79"/>
      <c r="V16" s="80"/>
    </row>
    <row r="17" spans="1:22" ht="15" customHeight="1">
      <c r="A17" s="160" t="s">
        <v>81</v>
      </c>
      <c r="B17" s="166"/>
      <c r="C17" s="161"/>
      <c r="D17" s="160" t="s">
        <v>90</v>
      </c>
      <c r="E17" s="161"/>
      <c r="F17" s="169" t="s">
        <v>91</v>
      </c>
      <c r="G17" s="170"/>
      <c r="H17" s="160" t="s">
        <v>92</v>
      </c>
      <c r="I17" s="161"/>
      <c r="J17" s="171" t="s">
        <v>93</v>
      </c>
      <c r="K17" s="171" t="s">
        <v>94</v>
      </c>
      <c r="L17" s="171" t="s">
        <v>95</v>
      </c>
      <c r="M17" s="160" t="s">
        <v>96</v>
      </c>
      <c r="N17" s="161"/>
      <c r="O17" s="171" t="s">
        <v>97</v>
      </c>
      <c r="P17" s="171" t="s">
        <v>98</v>
      </c>
      <c r="Q17" s="171" t="s">
        <v>99</v>
      </c>
      <c r="R17" s="171" t="s">
        <v>100</v>
      </c>
      <c r="S17" s="171" t="s">
        <v>101</v>
      </c>
      <c r="T17" s="171" t="s">
        <v>102</v>
      </c>
      <c r="U17" s="173" t="s">
        <v>453</v>
      </c>
      <c r="V17" s="174"/>
    </row>
    <row r="18" spans="1:22" ht="15" customHeight="1">
      <c r="A18" s="167" t="s">
        <v>103</v>
      </c>
      <c r="B18" s="175"/>
      <c r="C18" s="168"/>
      <c r="D18" s="167"/>
      <c r="E18" s="168"/>
      <c r="F18" s="176" t="s">
        <v>104</v>
      </c>
      <c r="G18" s="177"/>
      <c r="H18" s="167"/>
      <c r="I18" s="168"/>
      <c r="J18" s="172"/>
      <c r="K18" s="172"/>
      <c r="L18" s="172"/>
      <c r="M18" s="167"/>
      <c r="N18" s="168"/>
      <c r="O18" s="172"/>
      <c r="P18" s="172"/>
      <c r="Q18" s="172"/>
      <c r="R18" s="172"/>
      <c r="S18" s="172"/>
      <c r="T18" s="172"/>
      <c r="U18" s="178" t="s">
        <v>105</v>
      </c>
      <c r="V18" s="179"/>
    </row>
    <row r="19" spans="1:22" ht="15" customHeight="1">
      <c r="A19" s="157" t="s">
        <v>58</v>
      </c>
      <c r="B19" s="158"/>
      <c r="C19" s="159"/>
      <c r="D19" s="160" t="s">
        <v>387</v>
      </c>
      <c r="E19" s="161"/>
      <c r="F19" s="160" t="s">
        <v>432</v>
      </c>
      <c r="G19" s="161"/>
      <c r="H19" s="157" t="s">
        <v>56</v>
      </c>
      <c r="I19" s="159"/>
      <c r="J19" s="114" t="s">
        <v>25</v>
      </c>
      <c r="K19" s="114" t="s">
        <v>26</v>
      </c>
      <c r="L19" s="114" t="s">
        <v>27</v>
      </c>
      <c r="M19" s="162" t="s">
        <v>28</v>
      </c>
      <c r="N19" s="163"/>
      <c r="O19" s="114" t="s">
        <v>29</v>
      </c>
      <c r="P19" s="114" t="s">
        <v>30</v>
      </c>
      <c r="Q19" s="114" t="s">
        <v>31</v>
      </c>
      <c r="R19" s="114" t="s">
        <v>32</v>
      </c>
      <c r="S19" s="114" t="s">
        <v>33</v>
      </c>
      <c r="T19" s="114" t="s">
        <v>34</v>
      </c>
      <c r="U19" s="164" t="str">
        <f>IF(J19&lt;&gt;"","G","")</f>
        <v>G</v>
      </c>
      <c r="V19" s="165"/>
    </row>
    <row r="20" spans="1:22" ht="15" customHeight="1">
      <c r="A20" s="157" t="s">
        <v>145</v>
      </c>
      <c r="B20" s="158"/>
      <c r="C20" s="159"/>
      <c r="D20" s="160" t="s">
        <v>388</v>
      </c>
      <c r="E20" s="161"/>
      <c r="F20" s="160" t="s">
        <v>433</v>
      </c>
      <c r="G20" s="161"/>
      <c r="H20" s="157" t="s">
        <v>144</v>
      </c>
      <c r="I20" s="159"/>
      <c r="J20" s="114" t="s">
        <v>57</v>
      </c>
      <c r="K20" s="114" t="s">
        <v>59</v>
      </c>
      <c r="L20" s="114" t="s">
        <v>60</v>
      </c>
      <c r="M20" s="162" t="s">
        <v>61</v>
      </c>
      <c r="N20" s="163"/>
      <c r="O20" s="114" t="s">
        <v>62</v>
      </c>
      <c r="P20" s="114" t="s">
        <v>63</v>
      </c>
      <c r="Q20" s="114" t="s">
        <v>64</v>
      </c>
      <c r="R20" s="114" t="s">
        <v>65</v>
      </c>
      <c r="S20" s="114" t="s">
        <v>66</v>
      </c>
      <c r="T20" s="114" t="s">
        <v>67</v>
      </c>
      <c r="U20" s="164" t="str">
        <f t="shared" ref="U20:U38" si="0">IF(J20&lt;&gt;"","G","")</f>
        <v>G</v>
      </c>
      <c r="V20" s="165"/>
    </row>
    <row r="21" spans="1:22" ht="15" customHeight="1">
      <c r="A21" s="157" t="s">
        <v>157</v>
      </c>
      <c r="B21" s="158"/>
      <c r="C21" s="159"/>
      <c r="D21" s="160" t="s">
        <v>389</v>
      </c>
      <c r="E21" s="161"/>
      <c r="F21" s="160" t="s">
        <v>434</v>
      </c>
      <c r="G21" s="161"/>
      <c r="H21" s="157" t="s">
        <v>156</v>
      </c>
      <c r="I21" s="159"/>
      <c r="J21" s="114" t="s">
        <v>146</v>
      </c>
      <c r="K21" s="114" t="s">
        <v>147</v>
      </c>
      <c r="L21" s="114" t="s">
        <v>148</v>
      </c>
      <c r="M21" s="162" t="s">
        <v>149</v>
      </c>
      <c r="N21" s="163"/>
      <c r="O21" s="114" t="s">
        <v>150</v>
      </c>
      <c r="P21" s="114" t="s">
        <v>151</v>
      </c>
      <c r="Q21" s="114" t="s">
        <v>152</v>
      </c>
      <c r="R21" s="114" t="s">
        <v>153</v>
      </c>
      <c r="S21" s="114" t="s">
        <v>154</v>
      </c>
      <c r="T21" s="114" t="s">
        <v>155</v>
      </c>
      <c r="U21" s="164" t="str">
        <f t="shared" si="0"/>
        <v>G</v>
      </c>
      <c r="V21" s="165"/>
    </row>
    <row r="22" spans="1:22" ht="15" customHeight="1">
      <c r="A22" s="157" t="s">
        <v>169</v>
      </c>
      <c r="B22" s="158"/>
      <c r="C22" s="159"/>
      <c r="D22" s="160" t="s">
        <v>390</v>
      </c>
      <c r="E22" s="161"/>
      <c r="F22" s="160" t="s">
        <v>435</v>
      </c>
      <c r="G22" s="161"/>
      <c r="H22" s="157" t="s">
        <v>168</v>
      </c>
      <c r="I22" s="159"/>
      <c r="J22" s="114" t="s">
        <v>158</v>
      </c>
      <c r="K22" s="114" t="s">
        <v>159</v>
      </c>
      <c r="L22" s="114" t="s">
        <v>160</v>
      </c>
      <c r="M22" s="162" t="s">
        <v>161</v>
      </c>
      <c r="N22" s="163"/>
      <c r="O22" s="114" t="s">
        <v>162</v>
      </c>
      <c r="P22" s="114" t="s">
        <v>163</v>
      </c>
      <c r="Q22" s="114" t="s">
        <v>164</v>
      </c>
      <c r="R22" s="114" t="s">
        <v>165</v>
      </c>
      <c r="S22" s="114" t="s">
        <v>166</v>
      </c>
      <c r="T22" s="114" t="s">
        <v>167</v>
      </c>
      <c r="U22" s="164" t="str">
        <f t="shared" si="0"/>
        <v>G</v>
      </c>
      <c r="V22" s="165"/>
    </row>
    <row r="23" spans="1:22" ht="15" customHeight="1">
      <c r="A23" s="157" t="s">
        <v>181</v>
      </c>
      <c r="B23" s="158"/>
      <c r="C23" s="159"/>
      <c r="D23" s="160" t="s">
        <v>391</v>
      </c>
      <c r="E23" s="161"/>
      <c r="F23" s="160" t="s">
        <v>436</v>
      </c>
      <c r="G23" s="161"/>
      <c r="H23" s="157" t="s">
        <v>180</v>
      </c>
      <c r="I23" s="159"/>
      <c r="J23" s="114" t="s">
        <v>170</v>
      </c>
      <c r="K23" s="114" t="s">
        <v>171</v>
      </c>
      <c r="L23" s="114" t="s">
        <v>172</v>
      </c>
      <c r="M23" s="162" t="s">
        <v>173</v>
      </c>
      <c r="N23" s="163"/>
      <c r="O23" s="114" t="s">
        <v>174</v>
      </c>
      <c r="P23" s="114" t="s">
        <v>175</v>
      </c>
      <c r="Q23" s="114" t="s">
        <v>176</v>
      </c>
      <c r="R23" s="114" t="s">
        <v>177</v>
      </c>
      <c r="S23" s="114" t="s">
        <v>178</v>
      </c>
      <c r="T23" s="114" t="s">
        <v>179</v>
      </c>
      <c r="U23" s="164" t="str">
        <f t="shared" si="0"/>
        <v>G</v>
      </c>
      <c r="V23" s="165"/>
    </row>
    <row r="24" spans="1:22" ht="15" customHeight="1">
      <c r="A24" s="157" t="s">
        <v>192</v>
      </c>
      <c r="B24" s="158"/>
      <c r="C24" s="159"/>
      <c r="D24" s="160" t="s">
        <v>392</v>
      </c>
      <c r="E24" s="161"/>
      <c r="F24" s="160" t="s">
        <v>437</v>
      </c>
      <c r="G24" s="161"/>
      <c r="H24" s="157" t="s">
        <v>191</v>
      </c>
      <c r="I24" s="159"/>
      <c r="J24" s="114" t="s">
        <v>182</v>
      </c>
      <c r="K24" s="114" t="s">
        <v>183</v>
      </c>
      <c r="L24" s="114" t="s">
        <v>184</v>
      </c>
      <c r="M24" s="162" t="s">
        <v>185</v>
      </c>
      <c r="N24" s="163"/>
      <c r="O24" s="114" t="s">
        <v>186</v>
      </c>
      <c r="P24" s="114" t="s">
        <v>187</v>
      </c>
      <c r="Q24" s="114" t="s">
        <v>188</v>
      </c>
      <c r="R24" s="114" t="s">
        <v>189</v>
      </c>
      <c r="S24" s="114" t="s">
        <v>190</v>
      </c>
      <c r="T24" s="114" t="s">
        <v>382</v>
      </c>
      <c r="U24" s="164" t="str">
        <f t="shared" si="0"/>
        <v>G</v>
      </c>
      <c r="V24" s="165"/>
    </row>
    <row r="25" spans="1:22" ht="15" customHeight="1">
      <c r="A25" s="157" t="s">
        <v>203</v>
      </c>
      <c r="B25" s="158"/>
      <c r="C25" s="159"/>
      <c r="D25" s="160" t="s">
        <v>393</v>
      </c>
      <c r="E25" s="161"/>
      <c r="F25" s="160" t="s">
        <v>438</v>
      </c>
      <c r="G25" s="161"/>
      <c r="H25" s="157" t="s">
        <v>202</v>
      </c>
      <c r="I25" s="159"/>
      <c r="J25" s="114" t="s">
        <v>193</v>
      </c>
      <c r="K25" s="114" t="s">
        <v>194</v>
      </c>
      <c r="L25" s="114" t="s">
        <v>195</v>
      </c>
      <c r="M25" s="162" t="s">
        <v>196</v>
      </c>
      <c r="N25" s="163"/>
      <c r="O25" s="114" t="s">
        <v>197</v>
      </c>
      <c r="P25" s="114" t="s">
        <v>198</v>
      </c>
      <c r="Q25" s="114" t="s">
        <v>199</v>
      </c>
      <c r="R25" s="114" t="s">
        <v>200</v>
      </c>
      <c r="S25" s="114" t="s">
        <v>201</v>
      </c>
      <c r="T25" s="114" t="s">
        <v>383</v>
      </c>
      <c r="U25" s="164" t="str">
        <f t="shared" si="0"/>
        <v>G</v>
      </c>
      <c r="V25" s="165"/>
    </row>
    <row r="26" spans="1:22" ht="15" customHeight="1">
      <c r="A26" s="157" t="s">
        <v>214</v>
      </c>
      <c r="B26" s="158"/>
      <c r="C26" s="159"/>
      <c r="D26" s="160" t="s">
        <v>394</v>
      </c>
      <c r="E26" s="161"/>
      <c r="F26" s="160" t="s">
        <v>439</v>
      </c>
      <c r="G26" s="161"/>
      <c r="H26" s="157" t="s">
        <v>213</v>
      </c>
      <c r="I26" s="159"/>
      <c r="J26" s="114" t="s">
        <v>204</v>
      </c>
      <c r="K26" s="114" t="s">
        <v>205</v>
      </c>
      <c r="L26" s="114" t="s">
        <v>206</v>
      </c>
      <c r="M26" s="162" t="s">
        <v>207</v>
      </c>
      <c r="N26" s="163"/>
      <c r="O26" s="114" t="s">
        <v>208</v>
      </c>
      <c r="P26" s="114" t="s">
        <v>209</v>
      </c>
      <c r="Q26" s="114" t="s">
        <v>210</v>
      </c>
      <c r="R26" s="114" t="s">
        <v>211</v>
      </c>
      <c r="S26" s="114" t="s">
        <v>212</v>
      </c>
      <c r="T26" s="114" t="s">
        <v>384</v>
      </c>
      <c r="U26" s="164" t="str">
        <f t="shared" si="0"/>
        <v>G</v>
      </c>
      <c r="V26" s="165"/>
    </row>
    <row r="27" spans="1:22" ht="15" customHeight="1">
      <c r="A27" s="157" t="s">
        <v>225</v>
      </c>
      <c r="B27" s="158"/>
      <c r="C27" s="159"/>
      <c r="D27" s="160" t="s">
        <v>395</v>
      </c>
      <c r="E27" s="161"/>
      <c r="F27" s="160" t="s">
        <v>440</v>
      </c>
      <c r="G27" s="161"/>
      <c r="H27" s="157" t="s">
        <v>224</v>
      </c>
      <c r="I27" s="159"/>
      <c r="J27" s="114" t="s">
        <v>215</v>
      </c>
      <c r="K27" s="114" t="s">
        <v>216</v>
      </c>
      <c r="L27" s="114" t="s">
        <v>217</v>
      </c>
      <c r="M27" s="162" t="s">
        <v>218</v>
      </c>
      <c r="N27" s="163"/>
      <c r="O27" s="114" t="s">
        <v>219</v>
      </c>
      <c r="P27" s="114" t="s">
        <v>220</v>
      </c>
      <c r="Q27" s="114" t="s">
        <v>221</v>
      </c>
      <c r="R27" s="114" t="s">
        <v>222</v>
      </c>
      <c r="S27" s="114" t="s">
        <v>223</v>
      </c>
      <c r="T27" s="114" t="s">
        <v>385</v>
      </c>
      <c r="U27" s="164" t="str">
        <f t="shared" si="0"/>
        <v>G</v>
      </c>
      <c r="V27" s="165"/>
    </row>
    <row r="28" spans="1:22" ht="15" customHeight="1">
      <c r="A28" s="157" t="s">
        <v>236</v>
      </c>
      <c r="B28" s="158"/>
      <c r="C28" s="159"/>
      <c r="D28" s="160" t="s">
        <v>396</v>
      </c>
      <c r="E28" s="161"/>
      <c r="F28" s="160" t="s">
        <v>441</v>
      </c>
      <c r="G28" s="161"/>
      <c r="H28" s="157" t="s">
        <v>235</v>
      </c>
      <c r="I28" s="159"/>
      <c r="J28" s="114" t="s">
        <v>226</v>
      </c>
      <c r="K28" s="114" t="s">
        <v>227</v>
      </c>
      <c r="L28" s="114" t="s">
        <v>228</v>
      </c>
      <c r="M28" s="162" t="s">
        <v>229</v>
      </c>
      <c r="N28" s="163"/>
      <c r="O28" s="114" t="s">
        <v>230</v>
      </c>
      <c r="P28" s="114" t="s">
        <v>231</v>
      </c>
      <c r="Q28" s="114" t="s">
        <v>232</v>
      </c>
      <c r="R28" s="114" t="s">
        <v>233</v>
      </c>
      <c r="S28" s="114" t="s">
        <v>234</v>
      </c>
      <c r="T28" s="114" t="s">
        <v>386</v>
      </c>
      <c r="U28" s="164" t="str">
        <f t="shared" si="0"/>
        <v>G</v>
      </c>
      <c r="V28" s="165"/>
    </row>
    <row r="29" spans="1:22" ht="15" customHeight="1">
      <c r="A29" s="157" t="s">
        <v>352</v>
      </c>
      <c r="B29" s="158"/>
      <c r="C29" s="159"/>
      <c r="D29" s="160" t="s">
        <v>397</v>
      </c>
      <c r="E29" s="161"/>
      <c r="F29" s="160" t="s">
        <v>442</v>
      </c>
      <c r="G29" s="161"/>
      <c r="H29" s="157" t="s">
        <v>342</v>
      </c>
      <c r="I29" s="159"/>
      <c r="J29" s="114" t="s">
        <v>242</v>
      </c>
      <c r="K29" s="114" t="s">
        <v>243</v>
      </c>
      <c r="L29" s="114" t="s">
        <v>244</v>
      </c>
      <c r="M29" s="162" t="s">
        <v>245</v>
      </c>
      <c r="N29" s="163"/>
      <c r="O29" s="114" t="s">
        <v>246</v>
      </c>
      <c r="P29" s="114" t="s">
        <v>247</v>
      </c>
      <c r="Q29" s="114" t="s">
        <v>248</v>
      </c>
      <c r="R29" s="114" t="s">
        <v>249</v>
      </c>
      <c r="S29" s="114" t="s">
        <v>250</v>
      </c>
      <c r="T29" s="114" t="s">
        <v>255</v>
      </c>
      <c r="U29" s="164" t="str">
        <f t="shared" si="0"/>
        <v>G</v>
      </c>
      <c r="V29" s="165"/>
    </row>
    <row r="30" spans="1:22" ht="15" customHeight="1">
      <c r="A30" s="157" t="s">
        <v>353</v>
      </c>
      <c r="B30" s="158"/>
      <c r="C30" s="159"/>
      <c r="D30" s="160" t="s">
        <v>398</v>
      </c>
      <c r="E30" s="161"/>
      <c r="F30" s="160" t="s">
        <v>443</v>
      </c>
      <c r="G30" s="161"/>
      <c r="H30" s="157" t="s">
        <v>343</v>
      </c>
      <c r="I30" s="159"/>
      <c r="J30" s="114" t="s">
        <v>251</v>
      </c>
      <c r="K30" s="114" t="s">
        <v>252</v>
      </c>
      <c r="L30" s="114" t="s">
        <v>253</v>
      </c>
      <c r="M30" s="162" t="s">
        <v>254</v>
      </c>
      <c r="N30" s="163"/>
      <c r="O30" s="114" t="s">
        <v>256</v>
      </c>
      <c r="P30" s="114" t="s">
        <v>257</v>
      </c>
      <c r="Q30" s="114" t="s">
        <v>258</v>
      </c>
      <c r="R30" s="114" t="s">
        <v>259</v>
      </c>
      <c r="S30" s="114" t="s">
        <v>260</v>
      </c>
      <c r="T30" s="114" t="s">
        <v>261</v>
      </c>
      <c r="U30" s="164" t="str">
        <f t="shared" si="0"/>
        <v>G</v>
      </c>
      <c r="V30" s="165"/>
    </row>
    <row r="31" spans="1:22" ht="15" customHeight="1">
      <c r="A31" s="157" t="s">
        <v>354</v>
      </c>
      <c r="B31" s="158"/>
      <c r="C31" s="159"/>
      <c r="D31" s="160" t="s">
        <v>399</v>
      </c>
      <c r="E31" s="161"/>
      <c r="F31" s="160" t="s">
        <v>444</v>
      </c>
      <c r="G31" s="161"/>
      <c r="H31" s="157" t="s">
        <v>344</v>
      </c>
      <c r="I31" s="159"/>
      <c r="J31" s="114" t="s">
        <v>262</v>
      </c>
      <c r="K31" s="114" t="s">
        <v>263</v>
      </c>
      <c r="L31" s="114" t="s">
        <v>264</v>
      </c>
      <c r="M31" s="162" t="s">
        <v>265</v>
      </c>
      <c r="N31" s="163"/>
      <c r="O31" s="114" t="s">
        <v>266</v>
      </c>
      <c r="P31" s="114" t="s">
        <v>267</v>
      </c>
      <c r="Q31" s="114" t="s">
        <v>268</v>
      </c>
      <c r="R31" s="114" t="s">
        <v>269</v>
      </c>
      <c r="S31" s="114" t="s">
        <v>270</v>
      </c>
      <c r="T31" s="114" t="s">
        <v>271</v>
      </c>
      <c r="U31" s="164" t="str">
        <f t="shared" si="0"/>
        <v>G</v>
      </c>
      <c r="V31" s="165"/>
    </row>
    <row r="32" spans="1:22" ht="15" customHeight="1">
      <c r="A32" s="157" t="s">
        <v>355</v>
      </c>
      <c r="B32" s="158"/>
      <c r="C32" s="159"/>
      <c r="D32" s="160" t="s">
        <v>400</v>
      </c>
      <c r="E32" s="161"/>
      <c r="F32" s="160" t="s">
        <v>445</v>
      </c>
      <c r="G32" s="161"/>
      <c r="H32" s="157" t="s">
        <v>345</v>
      </c>
      <c r="I32" s="159"/>
      <c r="J32" s="114" t="s">
        <v>272</v>
      </c>
      <c r="K32" s="114" t="s">
        <v>273</v>
      </c>
      <c r="L32" s="114" t="s">
        <v>274</v>
      </c>
      <c r="M32" s="162" t="s">
        <v>275</v>
      </c>
      <c r="N32" s="163"/>
      <c r="O32" s="114" t="s">
        <v>276</v>
      </c>
      <c r="P32" s="114" t="s">
        <v>277</v>
      </c>
      <c r="Q32" s="114" t="s">
        <v>278</v>
      </c>
      <c r="R32" s="114" t="s">
        <v>279</v>
      </c>
      <c r="S32" s="114" t="s">
        <v>280</v>
      </c>
      <c r="T32" s="114" t="s">
        <v>281</v>
      </c>
      <c r="U32" s="164" t="str">
        <f t="shared" si="0"/>
        <v>G</v>
      </c>
      <c r="V32" s="165"/>
    </row>
    <row r="33" spans="1:22" ht="15" customHeight="1">
      <c r="A33" s="157" t="s">
        <v>356</v>
      </c>
      <c r="B33" s="158"/>
      <c r="C33" s="159"/>
      <c r="D33" s="160" t="s">
        <v>401</v>
      </c>
      <c r="E33" s="161"/>
      <c r="F33" s="160" t="s">
        <v>446</v>
      </c>
      <c r="G33" s="161"/>
      <c r="H33" s="157" t="s">
        <v>346</v>
      </c>
      <c r="I33" s="159"/>
      <c r="J33" s="114" t="s">
        <v>282</v>
      </c>
      <c r="K33" s="114" t="s">
        <v>283</v>
      </c>
      <c r="L33" s="114" t="s">
        <v>284</v>
      </c>
      <c r="M33" s="162" t="s">
        <v>285</v>
      </c>
      <c r="N33" s="163"/>
      <c r="O33" s="114" t="s">
        <v>286</v>
      </c>
      <c r="P33" s="114" t="s">
        <v>287</v>
      </c>
      <c r="Q33" s="114" t="s">
        <v>288</v>
      </c>
      <c r="R33" s="114" t="s">
        <v>289</v>
      </c>
      <c r="S33" s="114" t="s">
        <v>290</v>
      </c>
      <c r="T33" s="114" t="s">
        <v>291</v>
      </c>
      <c r="U33" s="164" t="str">
        <f t="shared" si="0"/>
        <v>G</v>
      </c>
      <c r="V33" s="165"/>
    </row>
    <row r="34" spans="1:22" s="81" customFormat="1" ht="15" customHeight="1">
      <c r="A34" s="157" t="s">
        <v>357</v>
      </c>
      <c r="B34" s="158"/>
      <c r="C34" s="159"/>
      <c r="D34" s="160" t="s">
        <v>402</v>
      </c>
      <c r="E34" s="161"/>
      <c r="F34" s="160" t="s">
        <v>447</v>
      </c>
      <c r="G34" s="161"/>
      <c r="H34" s="157" t="s">
        <v>347</v>
      </c>
      <c r="I34" s="159"/>
      <c r="J34" s="114" t="s">
        <v>292</v>
      </c>
      <c r="K34" s="114" t="s">
        <v>293</v>
      </c>
      <c r="L34" s="114" t="s">
        <v>294</v>
      </c>
      <c r="M34" s="162" t="s">
        <v>295</v>
      </c>
      <c r="N34" s="163"/>
      <c r="O34" s="114" t="s">
        <v>296</v>
      </c>
      <c r="P34" s="114" t="s">
        <v>297</v>
      </c>
      <c r="Q34" s="114" t="s">
        <v>298</v>
      </c>
      <c r="R34" s="114" t="s">
        <v>299</v>
      </c>
      <c r="S34" s="114" t="s">
        <v>300</v>
      </c>
      <c r="T34" s="114" t="s">
        <v>301</v>
      </c>
      <c r="U34" s="164" t="str">
        <f t="shared" si="0"/>
        <v>G</v>
      </c>
      <c r="V34" s="165"/>
    </row>
    <row r="35" spans="1:22" s="82" customFormat="1" ht="15" customHeight="1">
      <c r="A35" s="157" t="s">
        <v>358</v>
      </c>
      <c r="B35" s="158"/>
      <c r="C35" s="159"/>
      <c r="D35" s="160" t="s">
        <v>403</v>
      </c>
      <c r="E35" s="161"/>
      <c r="F35" s="160" t="s">
        <v>448</v>
      </c>
      <c r="G35" s="161"/>
      <c r="H35" s="157" t="s">
        <v>348</v>
      </c>
      <c r="I35" s="159"/>
      <c r="J35" s="114" t="s">
        <v>302</v>
      </c>
      <c r="K35" s="114" t="s">
        <v>303</v>
      </c>
      <c r="L35" s="114" t="s">
        <v>304</v>
      </c>
      <c r="M35" s="162" t="s">
        <v>305</v>
      </c>
      <c r="N35" s="163"/>
      <c r="O35" s="114" t="s">
        <v>306</v>
      </c>
      <c r="P35" s="114" t="s">
        <v>307</v>
      </c>
      <c r="Q35" s="114" t="s">
        <v>308</v>
      </c>
      <c r="R35" s="114" t="s">
        <v>309</v>
      </c>
      <c r="S35" s="114" t="s">
        <v>310</v>
      </c>
      <c r="T35" s="114" t="s">
        <v>311</v>
      </c>
      <c r="U35" s="164" t="str">
        <f t="shared" si="0"/>
        <v>G</v>
      </c>
      <c r="V35" s="165"/>
    </row>
    <row r="36" spans="1:22" s="83" customFormat="1" ht="15" customHeight="1">
      <c r="A36" s="157" t="s">
        <v>359</v>
      </c>
      <c r="B36" s="158"/>
      <c r="C36" s="159"/>
      <c r="D36" s="160" t="s">
        <v>404</v>
      </c>
      <c r="E36" s="161"/>
      <c r="F36" s="160" t="s">
        <v>449</v>
      </c>
      <c r="G36" s="161"/>
      <c r="H36" s="157" t="s">
        <v>349</v>
      </c>
      <c r="I36" s="159"/>
      <c r="J36" s="114" t="s">
        <v>312</v>
      </c>
      <c r="K36" s="114" t="s">
        <v>313</v>
      </c>
      <c r="L36" s="114" t="s">
        <v>314</v>
      </c>
      <c r="M36" s="162" t="s">
        <v>315</v>
      </c>
      <c r="N36" s="163"/>
      <c r="O36" s="114" t="s">
        <v>316</v>
      </c>
      <c r="P36" s="114" t="s">
        <v>317</v>
      </c>
      <c r="Q36" s="114" t="s">
        <v>318</v>
      </c>
      <c r="R36" s="114" t="s">
        <v>319</v>
      </c>
      <c r="S36" s="114" t="s">
        <v>320</v>
      </c>
      <c r="T36" s="114" t="s">
        <v>321</v>
      </c>
      <c r="U36" s="164" t="str">
        <f t="shared" si="0"/>
        <v>G</v>
      </c>
      <c r="V36" s="165"/>
    </row>
    <row r="37" spans="1:22" s="83" customFormat="1" ht="15" customHeight="1">
      <c r="A37" s="157" t="s">
        <v>360</v>
      </c>
      <c r="B37" s="158"/>
      <c r="C37" s="159"/>
      <c r="D37" s="160" t="s">
        <v>405</v>
      </c>
      <c r="E37" s="161"/>
      <c r="F37" s="160" t="s">
        <v>450</v>
      </c>
      <c r="G37" s="161"/>
      <c r="H37" s="157" t="s">
        <v>350</v>
      </c>
      <c r="I37" s="159"/>
      <c r="J37" s="114" t="s">
        <v>322</v>
      </c>
      <c r="K37" s="114" t="s">
        <v>323</v>
      </c>
      <c r="L37" s="114" t="s">
        <v>324</v>
      </c>
      <c r="M37" s="162" t="s">
        <v>325</v>
      </c>
      <c r="N37" s="163"/>
      <c r="O37" s="114" t="s">
        <v>326</v>
      </c>
      <c r="P37" s="114" t="s">
        <v>327</v>
      </c>
      <c r="Q37" s="114" t="s">
        <v>328</v>
      </c>
      <c r="R37" s="114" t="s">
        <v>329</v>
      </c>
      <c r="S37" s="114" t="s">
        <v>330</v>
      </c>
      <c r="T37" s="114" t="s">
        <v>331</v>
      </c>
      <c r="U37" s="164" t="str">
        <f t="shared" si="0"/>
        <v>G</v>
      </c>
      <c r="V37" s="165"/>
    </row>
    <row r="38" spans="1:22" s="83" customFormat="1" ht="15" customHeight="1">
      <c r="A38" s="157" t="s">
        <v>361</v>
      </c>
      <c r="B38" s="158"/>
      <c r="C38" s="159"/>
      <c r="D38" s="160" t="s">
        <v>406</v>
      </c>
      <c r="E38" s="161"/>
      <c r="F38" s="160" t="s">
        <v>451</v>
      </c>
      <c r="G38" s="161"/>
      <c r="H38" s="157" t="s">
        <v>351</v>
      </c>
      <c r="I38" s="159"/>
      <c r="J38" s="114" t="s">
        <v>332</v>
      </c>
      <c r="K38" s="114" t="s">
        <v>333</v>
      </c>
      <c r="L38" s="114" t="s">
        <v>334</v>
      </c>
      <c r="M38" s="162" t="s">
        <v>335</v>
      </c>
      <c r="N38" s="163"/>
      <c r="O38" s="114" t="s">
        <v>336</v>
      </c>
      <c r="P38" s="114" t="s">
        <v>337</v>
      </c>
      <c r="Q38" s="114" t="s">
        <v>338</v>
      </c>
      <c r="R38" s="114" t="s">
        <v>339</v>
      </c>
      <c r="S38" s="114" t="s">
        <v>340</v>
      </c>
      <c r="T38" s="114" t="s">
        <v>341</v>
      </c>
      <c r="U38" s="164" t="str">
        <f t="shared" si="0"/>
        <v>G</v>
      </c>
      <c r="V38" s="165"/>
    </row>
    <row r="39" spans="1:22" s="83" customFormat="1" ht="12.75" customHeight="1">
      <c r="A39" s="84" t="s">
        <v>106</v>
      </c>
      <c r="B39" s="85"/>
      <c r="C39" s="85"/>
      <c r="D39" s="85"/>
      <c r="E39" s="85"/>
      <c r="F39" s="86"/>
      <c r="G39" s="87"/>
      <c r="H39" s="123"/>
      <c r="I39" s="121" t="s">
        <v>107</v>
      </c>
      <c r="J39" s="42"/>
      <c r="K39" s="42"/>
      <c r="L39" s="42"/>
      <c r="M39" s="42"/>
      <c r="N39" s="43"/>
      <c r="O39" s="88" t="s">
        <v>108</v>
      </c>
      <c r="P39" s="89"/>
      <c r="Q39" s="86"/>
      <c r="R39" s="87"/>
      <c r="S39" s="90" t="s">
        <v>109</v>
      </c>
      <c r="T39" s="86"/>
      <c r="U39" s="86"/>
      <c r="V39" s="87"/>
    </row>
    <row r="40" spans="1:22" s="97" customFormat="1" ht="12.75" customHeight="1">
      <c r="A40" s="91"/>
      <c r="B40" s="92"/>
      <c r="C40" s="92"/>
      <c r="D40" s="92"/>
      <c r="E40" s="92"/>
      <c r="F40" s="92"/>
      <c r="G40" s="93"/>
      <c r="H40" s="91"/>
      <c r="I40" s="65"/>
      <c r="J40" s="65"/>
      <c r="K40" s="65"/>
      <c r="L40" s="65"/>
      <c r="M40" s="65"/>
      <c r="N40" s="74"/>
      <c r="O40" s="94" t="s">
        <v>110</v>
      </c>
      <c r="P40" s="95"/>
      <c r="Q40" s="92"/>
      <c r="R40" s="93"/>
      <c r="S40" s="96" t="s">
        <v>111</v>
      </c>
      <c r="T40" s="92"/>
      <c r="U40" s="92"/>
      <c r="V40" s="93"/>
    </row>
    <row r="41" spans="1:22" s="97" customFormat="1" ht="12.75" customHeight="1">
      <c r="A41" s="91"/>
      <c r="B41" s="92"/>
      <c r="C41" s="92"/>
      <c r="D41" s="92"/>
      <c r="E41" s="92"/>
      <c r="F41" s="92"/>
      <c r="G41" s="93"/>
      <c r="H41" s="91"/>
      <c r="I41" s="65"/>
      <c r="J41" s="65"/>
      <c r="K41" s="65"/>
      <c r="L41" s="65"/>
      <c r="M41" s="65"/>
      <c r="N41" s="74"/>
      <c r="O41" s="94" t="s">
        <v>112</v>
      </c>
      <c r="P41" s="95"/>
      <c r="Q41" s="92"/>
      <c r="R41" s="93"/>
      <c r="S41" s="96" t="s">
        <v>113</v>
      </c>
      <c r="T41" s="92"/>
      <c r="U41" s="92"/>
      <c r="V41" s="93"/>
    </row>
    <row r="42" spans="1:22" s="97" customFormat="1" ht="12.75" customHeight="1">
      <c r="A42" s="91"/>
      <c r="B42" s="92"/>
      <c r="C42" s="92"/>
      <c r="D42" s="92"/>
      <c r="E42" s="92"/>
      <c r="F42" s="92"/>
      <c r="G42" s="93"/>
      <c r="H42" s="91"/>
      <c r="I42" s="65"/>
      <c r="J42" s="65"/>
      <c r="K42" s="65"/>
      <c r="L42" s="65"/>
      <c r="M42" s="65"/>
      <c r="N42" s="74"/>
      <c r="O42" s="94" t="s">
        <v>114</v>
      </c>
      <c r="P42" s="95"/>
      <c r="Q42" s="92"/>
      <c r="R42" s="93"/>
      <c r="S42" s="96" t="s">
        <v>115</v>
      </c>
      <c r="T42" s="92"/>
      <c r="U42" s="92"/>
      <c r="V42" s="93"/>
    </row>
    <row r="43" spans="1:22" s="97" customFormat="1" ht="12.75" customHeight="1">
      <c r="A43" s="91"/>
      <c r="B43" s="92"/>
      <c r="C43" s="92"/>
      <c r="D43" s="92"/>
      <c r="E43" s="92"/>
      <c r="F43" s="92"/>
      <c r="G43" s="93"/>
      <c r="H43" s="91"/>
      <c r="I43" s="65"/>
      <c r="J43" s="65"/>
      <c r="K43" s="65"/>
      <c r="L43" s="65"/>
      <c r="M43" s="65"/>
      <c r="N43" s="74"/>
      <c r="O43" s="94" t="s">
        <v>116</v>
      </c>
      <c r="P43" s="95"/>
      <c r="Q43" s="92"/>
      <c r="R43" s="93"/>
      <c r="S43" s="96" t="s">
        <v>117</v>
      </c>
      <c r="T43" s="92"/>
      <c r="U43" s="92"/>
      <c r="V43" s="93"/>
    </row>
    <row r="44" spans="1:22" s="97" customFormat="1" ht="12.75" customHeight="1">
      <c r="A44" s="91"/>
      <c r="B44" s="92"/>
      <c r="C44" s="92"/>
      <c r="D44" s="92"/>
      <c r="E44" s="92"/>
      <c r="F44" s="92"/>
      <c r="G44" s="93"/>
      <c r="H44" s="91"/>
      <c r="I44" s="65"/>
      <c r="J44" s="65"/>
      <c r="K44" s="65"/>
      <c r="L44" s="65"/>
      <c r="M44" s="65"/>
      <c r="N44" s="74"/>
      <c r="O44" s="94" t="s">
        <v>118</v>
      </c>
      <c r="P44" s="95"/>
      <c r="Q44" s="92"/>
      <c r="R44" s="93"/>
      <c r="S44" s="96" t="s">
        <v>119</v>
      </c>
      <c r="T44" s="92"/>
      <c r="U44" s="92"/>
      <c r="V44" s="93"/>
    </row>
    <row r="45" spans="1:22" s="97" customFormat="1" ht="12.75" customHeight="1">
      <c r="A45" s="91"/>
      <c r="B45" s="92"/>
      <c r="C45" s="92"/>
      <c r="D45" s="92"/>
      <c r="E45" s="92"/>
      <c r="F45" s="92"/>
      <c r="G45" s="93"/>
      <c r="H45" s="91"/>
      <c r="I45" s="65"/>
      <c r="J45" s="65"/>
      <c r="K45" s="65"/>
      <c r="L45" s="65"/>
      <c r="M45" s="65"/>
      <c r="N45" s="74"/>
      <c r="O45" s="94" t="s">
        <v>120</v>
      </c>
      <c r="P45" s="95"/>
      <c r="Q45" s="92"/>
      <c r="R45" s="93"/>
      <c r="S45" s="96" t="s">
        <v>121</v>
      </c>
      <c r="T45" s="92"/>
      <c r="U45" s="92"/>
      <c r="V45" s="93"/>
    </row>
    <row r="46" spans="1:22" s="97" customFormat="1" ht="12.75" customHeight="1">
      <c r="A46" s="70"/>
      <c r="B46" s="92"/>
      <c r="C46" s="92"/>
      <c r="D46" s="92"/>
      <c r="E46" s="92"/>
      <c r="F46" s="92"/>
      <c r="G46" s="98"/>
      <c r="H46" s="124"/>
      <c r="I46" s="122"/>
      <c r="J46" s="92"/>
      <c r="K46" s="92"/>
      <c r="L46" s="92"/>
      <c r="M46" s="92"/>
      <c r="N46" s="93"/>
      <c r="O46" s="94" t="s">
        <v>122</v>
      </c>
      <c r="P46" s="95"/>
      <c r="Q46" s="92"/>
      <c r="R46" s="93"/>
      <c r="S46" s="96" t="s">
        <v>123</v>
      </c>
      <c r="T46" s="92"/>
      <c r="U46" s="92"/>
      <c r="V46" s="93"/>
    </row>
    <row r="47" spans="1:22" s="97" customFormat="1" ht="12.75" customHeight="1">
      <c r="A47" s="70"/>
      <c r="B47" s="92"/>
      <c r="C47" s="92"/>
      <c r="D47" s="92"/>
      <c r="E47" s="92"/>
      <c r="F47" s="92"/>
      <c r="G47" s="98"/>
      <c r="H47" s="124"/>
      <c r="I47" s="122"/>
      <c r="J47" s="92"/>
      <c r="K47" s="92"/>
      <c r="L47" s="92"/>
      <c r="M47" s="92"/>
      <c r="N47" s="93"/>
      <c r="O47" s="94" t="s">
        <v>124</v>
      </c>
      <c r="P47" s="95"/>
      <c r="Q47" s="92"/>
      <c r="R47" s="93"/>
      <c r="S47" s="96" t="s">
        <v>125</v>
      </c>
      <c r="T47" s="92"/>
      <c r="U47" s="92"/>
      <c r="V47" s="93"/>
    </row>
    <row r="48" spans="1:22" s="97" customFormat="1" ht="12.75" customHeight="1">
      <c r="A48" s="70"/>
      <c r="B48" s="92"/>
      <c r="C48" s="92"/>
      <c r="D48" s="92"/>
      <c r="E48" s="92"/>
      <c r="F48" s="92"/>
      <c r="G48" s="98"/>
      <c r="H48" s="124"/>
      <c r="I48" s="122"/>
      <c r="J48" s="92"/>
      <c r="K48" s="92"/>
      <c r="L48" s="92"/>
      <c r="M48" s="92"/>
      <c r="N48" s="93"/>
      <c r="O48" s="94" t="s">
        <v>126</v>
      </c>
      <c r="P48" s="95"/>
      <c r="Q48" s="92"/>
      <c r="R48" s="93"/>
      <c r="S48" s="96" t="s">
        <v>127</v>
      </c>
      <c r="T48" s="92"/>
      <c r="U48" s="92"/>
      <c r="V48" s="93"/>
    </row>
    <row r="49" spans="1:22" s="97" customFormat="1" ht="12.75" customHeight="1">
      <c r="A49" s="70"/>
      <c r="B49" s="92"/>
      <c r="C49" s="92"/>
      <c r="D49" s="92"/>
      <c r="E49" s="92"/>
      <c r="F49" s="92"/>
      <c r="G49" s="98"/>
      <c r="H49" s="124"/>
      <c r="I49" s="122"/>
      <c r="J49" s="92"/>
      <c r="K49" s="92"/>
      <c r="L49" s="92"/>
      <c r="M49" s="92"/>
      <c r="N49" s="93"/>
      <c r="O49" s="94" t="s">
        <v>128</v>
      </c>
      <c r="P49" s="95"/>
      <c r="Q49" s="92"/>
      <c r="R49" s="93"/>
      <c r="S49" s="96" t="s">
        <v>129</v>
      </c>
      <c r="T49" s="92"/>
      <c r="U49" s="92"/>
      <c r="V49" s="93"/>
    </row>
    <row r="50" spans="1:22" s="97" customFormat="1" ht="12.75" customHeight="1">
      <c r="A50" s="118"/>
      <c r="B50" s="119"/>
      <c r="C50" s="119"/>
      <c r="D50" s="119"/>
      <c r="E50" s="119"/>
      <c r="F50" s="119"/>
      <c r="G50" s="98"/>
      <c r="H50" s="124"/>
      <c r="I50" s="122"/>
      <c r="J50" s="92"/>
      <c r="K50" s="92"/>
      <c r="L50" s="92"/>
      <c r="M50" s="92"/>
      <c r="N50" s="93"/>
      <c r="O50" s="94" t="s">
        <v>130</v>
      </c>
      <c r="P50" s="95"/>
      <c r="Q50" s="92"/>
      <c r="R50" s="93"/>
      <c r="S50" s="96" t="s">
        <v>131</v>
      </c>
      <c r="T50" s="92"/>
      <c r="U50" s="92"/>
      <c r="V50" s="93"/>
    </row>
    <row r="51" spans="1:22" s="97" customFormat="1" ht="11.15" customHeight="1">
      <c r="A51" s="118"/>
      <c r="B51" s="119"/>
      <c r="C51" s="119"/>
      <c r="D51" s="119"/>
      <c r="E51" s="119"/>
      <c r="F51" s="119"/>
      <c r="G51" s="99"/>
      <c r="H51" s="100"/>
      <c r="I51" s="120"/>
      <c r="J51" s="92"/>
      <c r="K51" s="92"/>
      <c r="L51" s="92"/>
      <c r="M51" s="102"/>
      <c r="N51" s="101"/>
      <c r="O51" s="94" t="s">
        <v>132</v>
      </c>
      <c r="P51" s="95"/>
      <c r="Q51" s="92"/>
      <c r="R51" s="93"/>
      <c r="S51" s="96" t="s">
        <v>133</v>
      </c>
      <c r="T51" s="92"/>
      <c r="U51" s="92"/>
      <c r="V51" s="93"/>
    </row>
    <row r="52" spans="1:22" s="97" customFormat="1" ht="12.75" customHeight="1">
      <c r="A52" s="140" t="s">
        <v>413</v>
      </c>
      <c r="B52" s="141"/>
      <c r="C52" s="146" t="s">
        <v>414</v>
      </c>
      <c r="D52" s="146" t="s">
        <v>415</v>
      </c>
      <c r="E52" s="146" t="s">
        <v>416</v>
      </c>
      <c r="F52" s="140" t="s">
        <v>417</v>
      </c>
      <c r="G52" s="141"/>
      <c r="H52" s="100"/>
      <c r="I52" s="120"/>
      <c r="J52" s="92"/>
      <c r="K52" s="92"/>
      <c r="L52" s="92"/>
      <c r="M52" s="102"/>
      <c r="N52" s="101"/>
      <c r="O52" s="94" t="s">
        <v>134</v>
      </c>
      <c r="P52" s="95"/>
      <c r="Q52" s="92"/>
      <c r="R52" s="93"/>
      <c r="S52" s="96" t="s">
        <v>135</v>
      </c>
      <c r="T52" s="92"/>
      <c r="U52" s="92"/>
      <c r="V52" s="93"/>
    </row>
    <row r="53" spans="1:22" s="83" customFormat="1" ht="11.15" customHeight="1">
      <c r="A53" s="142"/>
      <c r="B53" s="143"/>
      <c r="C53" s="147"/>
      <c r="D53" s="147"/>
      <c r="E53" s="147"/>
      <c r="F53" s="142"/>
      <c r="G53" s="143"/>
      <c r="H53" s="117"/>
      <c r="I53" s="120"/>
      <c r="J53" s="92"/>
      <c r="K53" s="92"/>
      <c r="L53" s="92"/>
      <c r="M53" s="102"/>
      <c r="N53" s="101"/>
      <c r="O53" s="94" t="s">
        <v>136</v>
      </c>
      <c r="P53" s="89"/>
      <c r="Q53" s="102"/>
      <c r="R53" s="101"/>
      <c r="S53" s="96" t="s">
        <v>137</v>
      </c>
      <c r="T53" s="102"/>
      <c r="U53" s="102"/>
      <c r="V53" s="101"/>
    </row>
    <row r="54" spans="1:22" s="83" customFormat="1" ht="12.75" customHeight="1">
      <c r="A54" s="142"/>
      <c r="B54" s="143"/>
      <c r="C54" s="147"/>
      <c r="D54" s="147"/>
      <c r="E54" s="147"/>
      <c r="F54" s="142"/>
      <c r="G54" s="143"/>
      <c r="H54" s="117"/>
      <c r="I54" s="120"/>
      <c r="J54" s="92"/>
      <c r="K54" s="92"/>
      <c r="L54" s="92"/>
      <c r="M54" s="102"/>
      <c r="N54" s="101"/>
      <c r="O54" s="94"/>
      <c r="P54" s="89"/>
      <c r="Q54" s="102"/>
      <c r="R54" s="101"/>
      <c r="S54" s="96" t="s">
        <v>138</v>
      </c>
      <c r="T54" s="102"/>
      <c r="U54" s="102"/>
      <c r="V54" s="101"/>
    </row>
    <row r="55" spans="1:22" s="83" customFormat="1" ht="4.5" customHeight="1">
      <c r="A55" s="144"/>
      <c r="B55" s="145"/>
      <c r="C55" s="148"/>
      <c r="D55" s="148"/>
      <c r="E55" s="148"/>
      <c r="F55" s="144"/>
      <c r="G55" s="145"/>
      <c r="H55" s="117"/>
      <c r="I55" s="120"/>
      <c r="J55" s="92"/>
      <c r="K55" s="92"/>
      <c r="L55" s="92"/>
      <c r="M55" s="102"/>
      <c r="N55" s="101"/>
      <c r="O55" s="94"/>
      <c r="P55" s="89"/>
      <c r="Q55" s="102"/>
      <c r="R55" s="101"/>
      <c r="S55" s="96"/>
      <c r="T55" s="102"/>
      <c r="U55" s="102"/>
      <c r="V55" s="101"/>
    </row>
    <row r="56" spans="1:22" s="83" customFormat="1" ht="12.75" customHeight="1">
      <c r="A56" s="149" t="s">
        <v>408</v>
      </c>
      <c r="B56" s="150"/>
      <c r="C56" s="153" t="s">
        <v>409</v>
      </c>
      <c r="D56" s="155" t="s">
        <v>410</v>
      </c>
      <c r="E56" s="155" t="s">
        <v>411</v>
      </c>
      <c r="F56" s="149" t="s">
        <v>412</v>
      </c>
      <c r="G56" s="150"/>
      <c r="H56" s="100"/>
      <c r="I56" s="120"/>
      <c r="J56" s="92"/>
      <c r="K56" s="92"/>
      <c r="L56" s="92"/>
      <c r="M56" s="102"/>
      <c r="N56" s="101"/>
      <c r="O56" s="94"/>
      <c r="P56" s="89"/>
      <c r="Q56" s="102"/>
      <c r="R56" s="101"/>
      <c r="S56" s="96"/>
      <c r="T56" s="102"/>
      <c r="U56" s="102"/>
      <c r="V56" s="101"/>
    </row>
    <row r="57" spans="1:22" ht="2.5" customHeight="1">
      <c r="A57" s="151"/>
      <c r="B57" s="152"/>
      <c r="C57" s="154"/>
      <c r="D57" s="156"/>
      <c r="E57" s="156"/>
      <c r="F57" s="151"/>
      <c r="G57" s="152"/>
      <c r="H57" s="104"/>
      <c r="I57" s="103"/>
      <c r="J57" s="105"/>
      <c r="K57" s="105"/>
      <c r="L57" s="105"/>
      <c r="M57" s="107"/>
      <c r="N57" s="106"/>
      <c r="O57" s="107"/>
      <c r="P57" s="107"/>
      <c r="Q57" s="107"/>
      <c r="R57" s="106"/>
      <c r="S57" s="108"/>
      <c r="T57" s="107"/>
      <c r="U57" s="107"/>
      <c r="V57" s="106"/>
    </row>
    <row r="58" spans="1:22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</row>
    <row r="59" spans="1:22" ht="21" customHeight="1">
      <c r="A59" s="109"/>
      <c r="B59" s="109"/>
      <c r="C59" s="109"/>
      <c r="D59" s="109"/>
      <c r="E59" s="109"/>
      <c r="F59" s="110"/>
      <c r="G59" s="65"/>
      <c r="H59" s="65"/>
      <c r="I59" s="111"/>
      <c r="J59" s="109"/>
      <c r="K59" s="109"/>
      <c r="L59" s="109"/>
    </row>
    <row r="60" spans="1:22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</row>
    <row r="61" spans="1:22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</row>
    <row r="62" spans="1:22">
      <c r="A62" s="112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</row>
    <row r="63" spans="1:22">
      <c r="B63" s="83"/>
      <c r="C63" s="83"/>
    </row>
    <row r="64" spans="1:22">
      <c r="B64" s="83"/>
      <c r="C64" s="83"/>
    </row>
    <row r="65" spans="1:3">
      <c r="B65" s="83"/>
      <c r="C65" s="83"/>
    </row>
    <row r="66" spans="1:3">
      <c r="B66" s="83"/>
      <c r="C66" s="83"/>
    </row>
    <row r="68" spans="1:3">
      <c r="A68" s="113"/>
    </row>
  </sheetData>
  <dataConsolidate/>
  <mergeCells count="170">
    <mergeCell ref="U1:V1"/>
    <mergeCell ref="U2:V2"/>
    <mergeCell ref="U3:V3"/>
    <mergeCell ref="U4:V4"/>
    <mergeCell ref="G7:K7"/>
    <mergeCell ref="G8:I8"/>
    <mergeCell ref="J8:K8"/>
    <mergeCell ref="G9:I9"/>
    <mergeCell ref="J11:K11"/>
    <mergeCell ref="L11:N11"/>
    <mergeCell ref="O11:R11"/>
    <mergeCell ref="S11:V11"/>
    <mergeCell ref="J12:K12"/>
    <mergeCell ref="L12:N12"/>
    <mergeCell ref="O12:R15"/>
    <mergeCell ref="S12:V15"/>
    <mergeCell ref="J13:K13"/>
    <mergeCell ref="L13:N13"/>
    <mergeCell ref="J14:K14"/>
    <mergeCell ref="L14:N14"/>
    <mergeCell ref="J15:K15"/>
    <mergeCell ref="L15:N15"/>
    <mergeCell ref="A17:C17"/>
    <mergeCell ref="D17:E18"/>
    <mergeCell ref="F17:G17"/>
    <mergeCell ref="H17:I18"/>
    <mergeCell ref="J17:J18"/>
    <mergeCell ref="R17:R18"/>
    <mergeCell ref="S17:S18"/>
    <mergeCell ref="T17:T18"/>
    <mergeCell ref="U17:V17"/>
    <mergeCell ref="A18:C18"/>
    <mergeCell ref="F18:G18"/>
    <mergeCell ref="U18:V18"/>
    <mergeCell ref="K17:K18"/>
    <mergeCell ref="L17:L18"/>
    <mergeCell ref="M17:N18"/>
    <mergeCell ref="O17:O18"/>
    <mergeCell ref="P17:P18"/>
    <mergeCell ref="Q17:Q18"/>
    <mergeCell ref="A20:C20"/>
    <mergeCell ref="D20:E20"/>
    <mergeCell ref="F20:G20"/>
    <mergeCell ref="H20:I20"/>
    <mergeCell ref="M20:N20"/>
    <mergeCell ref="U20:V20"/>
    <mergeCell ref="A19:C19"/>
    <mergeCell ref="D19:E19"/>
    <mergeCell ref="F19:G19"/>
    <mergeCell ref="H19:I19"/>
    <mergeCell ref="M19:N19"/>
    <mergeCell ref="U19:V19"/>
    <mergeCell ref="A22:C22"/>
    <mergeCell ref="D22:E22"/>
    <mergeCell ref="F22:G22"/>
    <mergeCell ref="H22:I22"/>
    <mergeCell ref="M22:N22"/>
    <mergeCell ref="U22:V22"/>
    <mergeCell ref="A21:C21"/>
    <mergeCell ref="D21:E21"/>
    <mergeCell ref="F21:G21"/>
    <mergeCell ref="H21:I21"/>
    <mergeCell ref="M21:N21"/>
    <mergeCell ref="U21:V21"/>
    <mergeCell ref="A24:C24"/>
    <mergeCell ref="D24:E24"/>
    <mergeCell ref="F24:G24"/>
    <mergeCell ref="H24:I24"/>
    <mergeCell ref="M24:N24"/>
    <mergeCell ref="U24:V24"/>
    <mergeCell ref="A23:C23"/>
    <mergeCell ref="D23:E23"/>
    <mergeCell ref="F23:G23"/>
    <mergeCell ref="H23:I23"/>
    <mergeCell ref="M23:N23"/>
    <mergeCell ref="U23:V23"/>
    <mergeCell ref="A26:C26"/>
    <mergeCell ref="D26:E26"/>
    <mergeCell ref="F26:G26"/>
    <mergeCell ref="H26:I26"/>
    <mergeCell ref="M26:N26"/>
    <mergeCell ref="U26:V26"/>
    <mergeCell ref="A25:C25"/>
    <mergeCell ref="D25:E25"/>
    <mergeCell ref="F25:G25"/>
    <mergeCell ref="H25:I25"/>
    <mergeCell ref="M25:N25"/>
    <mergeCell ref="U25:V25"/>
    <mergeCell ref="A28:C28"/>
    <mergeCell ref="D28:E28"/>
    <mergeCell ref="F28:G28"/>
    <mergeCell ref="H28:I28"/>
    <mergeCell ref="M28:N28"/>
    <mergeCell ref="U28:V28"/>
    <mergeCell ref="A27:C27"/>
    <mergeCell ref="D27:E27"/>
    <mergeCell ref="F27:G27"/>
    <mergeCell ref="H27:I27"/>
    <mergeCell ref="M27:N27"/>
    <mergeCell ref="U27:V27"/>
    <mergeCell ref="A30:C30"/>
    <mergeCell ref="D30:E30"/>
    <mergeCell ref="F30:G30"/>
    <mergeCell ref="H30:I30"/>
    <mergeCell ref="M30:N30"/>
    <mergeCell ref="U30:V30"/>
    <mergeCell ref="A29:C29"/>
    <mergeCell ref="D29:E29"/>
    <mergeCell ref="F29:G29"/>
    <mergeCell ref="H29:I29"/>
    <mergeCell ref="M29:N29"/>
    <mergeCell ref="U29:V29"/>
    <mergeCell ref="A32:C32"/>
    <mergeCell ref="D32:E32"/>
    <mergeCell ref="F32:G32"/>
    <mergeCell ref="H32:I32"/>
    <mergeCell ref="M32:N32"/>
    <mergeCell ref="U32:V32"/>
    <mergeCell ref="A31:C31"/>
    <mergeCell ref="D31:E31"/>
    <mergeCell ref="F31:G31"/>
    <mergeCell ref="H31:I31"/>
    <mergeCell ref="M31:N31"/>
    <mergeCell ref="U31:V31"/>
    <mergeCell ref="A34:C34"/>
    <mergeCell ref="D34:E34"/>
    <mergeCell ref="F34:G34"/>
    <mergeCell ref="H34:I34"/>
    <mergeCell ref="M34:N34"/>
    <mergeCell ref="U34:V34"/>
    <mergeCell ref="A33:C33"/>
    <mergeCell ref="D33:E33"/>
    <mergeCell ref="F33:G33"/>
    <mergeCell ref="H33:I33"/>
    <mergeCell ref="M33:N33"/>
    <mergeCell ref="U33:V33"/>
    <mergeCell ref="A36:C36"/>
    <mergeCell ref="D36:E36"/>
    <mergeCell ref="F36:G36"/>
    <mergeCell ref="H36:I36"/>
    <mergeCell ref="M36:N36"/>
    <mergeCell ref="U36:V36"/>
    <mergeCell ref="A35:C35"/>
    <mergeCell ref="D35:E35"/>
    <mergeCell ref="F35:G35"/>
    <mergeCell ref="H35:I35"/>
    <mergeCell ref="M35:N35"/>
    <mergeCell ref="U35:V35"/>
    <mergeCell ref="A38:C38"/>
    <mergeCell ref="D38:E38"/>
    <mergeCell ref="F38:G38"/>
    <mergeCell ref="H38:I38"/>
    <mergeCell ref="M38:N38"/>
    <mergeCell ref="U38:V38"/>
    <mergeCell ref="A37:C37"/>
    <mergeCell ref="D37:E37"/>
    <mergeCell ref="F37:G37"/>
    <mergeCell ref="H37:I37"/>
    <mergeCell ref="M37:N37"/>
    <mergeCell ref="U37:V37"/>
    <mergeCell ref="A52:B55"/>
    <mergeCell ref="C52:C55"/>
    <mergeCell ref="D52:D55"/>
    <mergeCell ref="E52:E55"/>
    <mergeCell ref="F52:G55"/>
    <mergeCell ref="A56:B57"/>
    <mergeCell ref="C56:C57"/>
    <mergeCell ref="D56:D57"/>
    <mergeCell ref="E56:E57"/>
    <mergeCell ref="F56:G57"/>
  </mergeCells>
  <pageMargins left="0.2" right="0.15748031496063" top="0.24" bottom="0.14000000000000001" header="0.15" footer="7.0000000000000007E-2"/>
  <pageSetup paperSize="9" scale="75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/>
  </sheetViews>
  <sheetFormatPr defaultRowHeight="13"/>
  <sheetData>
    <row r="1" spans="1:1">
      <c r="A1" t="s">
        <v>467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2"/>
  <sheetViews>
    <sheetView workbookViewId="0">
      <selection sqref="A1:A1048576"/>
    </sheetView>
  </sheetViews>
  <sheetFormatPr defaultRowHeight="13"/>
  <sheetData>
    <row r="1" spans="1:1">
      <c r="A1" t="s">
        <v>454</v>
      </c>
    </row>
    <row r="2" spans="1:1">
      <c r="A2" t="s">
        <v>455</v>
      </c>
    </row>
    <row r="3" spans="1:1">
      <c r="A3" t="s">
        <v>456</v>
      </c>
    </row>
    <row r="4" spans="1:1">
      <c r="A4" t="s">
        <v>463</v>
      </c>
    </row>
    <row r="5" spans="1:1">
      <c r="A5" t="s">
        <v>464</v>
      </c>
    </row>
    <row r="6" spans="1:1">
      <c r="A6" t="s">
        <v>458</v>
      </c>
    </row>
    <row r="7" spans="1:1">
      <c r="A7" t="s">
        <v>457</v>
      </c>
    </row>
    <row r="8" spans="1:1">
      <c r="A8" t="s">
        <v>457</v>
      </c>
    </row>
    <row r="9" spans="1:1">
      <c r="A9" t="s">
        <v>459</v>
      </c>
    </row>
    <row r="10" spans="1:1">
      <c r="A10" t="s">
        <v>460</v>
      </c>
    </row>
    <row r="11" spans="1:1">
      <c r="A11" t="s">
        <v>461</v>
      </c>
    </row>
    <row r="12" spans="1:1">
      <c r="A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398D0-9095-4651-8BDE-2760206D9502}">
  <sheetPr codeName="Sheet4"/>
  <dimension ref="A1"/>
  <sheetViews>
    <sheetView workbookViewId="0"/>
  </sheetViews>
  <sheetFormatPr defaultRowHeight="13"/>
  <sheetData>
    <row r="1" spans="1:1">
      <c r="A1" t="s">
        <v>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Table-ANSI</vt:lpstr>
      <vt:lpstr>FORM</vt:lpstr>
      <vt:lpstr>FromTextFile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2022-09-23T06:26:05Z</cp:lastPrinted>
  <dcterms:created xsi:type="dcterms:W3CDTF">2012-11-05T06:18:27Z</dcterms:created>
  <dcterms:modified xsi:type="dcterms:W3CDTF">2023-03-13T02:21:24Z</dcterms:modified>
</cp:coreProperties>
</file>