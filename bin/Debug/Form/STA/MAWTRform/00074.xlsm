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689B093C-F72B-4982-9FA3-BAFCEDFC7723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2" r:id="rId3"/>
    <sheet name="FromConfig" sheetId="62" r:id="rId4"/>
    <sheet name="FromAS400" sheetId="64" r:id="rId5"/>
    <sheet name="FromTextFileCtrl" sheetId="80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FORM!$A$1:$Y$74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82" l="1"/>
  <c r="W32" i="82"/>
  <c r="W31" i="82"/>
  <c r="W30" i="82"/>
  <c r="W29" i="82"/>
  <c r="W28" i="82"/>
  <c r="W27" i="82"/>
  <c r="W26" i="82"/>
  <c r="W25" i="82"/>
  <c r="W24" i="82"/>
  <c r="W23" i="82"/>
  <c r="W22" i="82"/>
  <c r="W21" i="82"/>
  <c r="V21" i="82"/>
  <c r="U21" i="82"/>
  <c r="S21" i="82"/>
  <c r="W20" i="82"/>
  <c r="V20" i="82"/>
  <c r="U20" i="82"/>
  <c r="S20" i="82"/>
  <c r="W19" i="82"/>
  <c r="V19" i="82"/>
  <c r="U19" i="82"/>
  <c r="S19" i="82"/>
  <c r="W18" i="82"/>
  <c r="V18" i="82"/>
  <c r="U18" i="82"/>
  <c r="S18" i="82"/>
  <c r="W17" i="82"/>
  <c r="V17" i="82"/>
  <c r="U17" i="82"/>
  <c r="S17" i="82"/>
  <c r="W16" i="82"/>
  <c r="V16" i="82"/>
  <c r="U16" i="82"/>
  <c r="S16" i="82"/>
  <c r="W15" i="82"/>
  <c r="V15" i="82"/>
  <c r="U15" i="82"/>
  <c r="S15" i="82"/>
  <c r="W14" i="82"/>
  <c r="V14" i="82"/>
  <c r="U14" i="82"/>
  <c r="S14" i="82"/>
  <c r="W13" i="82"/>
  <c r="V13" i="82"/>
  <c r="U13" i="82"/>
  <c r="S13" i="82"/>
  <c r="W12" i="82"/>
  <c r="V12" i="82"/>
  <c r="U12" i="82"/>
  <c r="S12" i="82"/>
  <c r="W11" i="82"/>
  <c r="V11" i="82"/>
  <c r="U11" i="82"/>
  <c r="S11" i="82"/>
  <c r="W10" i="82"/>
  <c r="V10" i="82"/>
  <c r="U10" i="82"/>
  <c r="S10" i="82"/>
  <c r="W9" i="82"/>
  <c r="V9" i="82"/>
  <c r="U9" i="82"/>
  <c r="S9" i="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mtl</author>
  </authors>
  <commentList>
    <comment ref="C9" authorId="0" shapeId="0" xr:uid="{43EC3002-0AE8-4A25-9EE5-20F1EA07148E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66EF6689-F6B6-4214-B0DC-28320ACBF705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E95DAD83-3B20-48D1-83FC-67470E8C9BFC}">
      <text>
        <r>
          <rPr>
            <sz val="8"/>
            <color indexed="81"/>
            <rFont val="Tahoma"/>
            <family val="2"/>
          </rPr>
          <t xml:space="preserve">Resonant frequency (kHz).
</t>
        </r>
      </text>
    </comment>
    <comment ref="C12" authorId="0" shapeId="0" xr:uid="{E0D0FFCC-89EC-456F-86AC-C26DCDF0BD65}">
      <text>
        <r>
          <rPr>
            <sz val="8"/>
            <color indexed="81"/>
            <rFont val="Tahoma"/>
            <family val="2"/>
          </rPr>
          <t>Decay time at comparator cross 0.8 Vo-p cross</t>
        </r>
      </text>
    </comment>
    <comment ref="C13" authorId="0" shapeId="0" xr:uid="{C3107B80-EE22-4142-B561-452527B5DE94}">
      <text>
        <r>
          <rPr>
            <sz val="8"/>
            <color indexed="81"/>
            <rFont val="Tahoma"/>
            <family val="2"/>
          </rPr>
          <t>Decay time at comparator cross 0.8 Vo-p cross</t>
        </r>
      </text>
    </comment>
    <comment ref="C14" authorId="0" shapeId="0" xr:uid="{368039B1-AF90-4F75-8819-C463B39F883B}">
      <text>
        <r>
          <rPr>
            <sz val="8"/>
            <color indexed="81"/>
            <rFont val="Tahoma"/>
            <family val="2"/>
          </rPr>
          <t xml:space="preserve">Decay time 2.4 - 7 ms.
</t>
        </r>
      </text>
    </comment>
    <comment ref="C15" authorId="0" shapeId="0" xr:uid="{6F57AB2E-0076-474A-8638-7E5B3EB35A88}">
      <text>
        <r>
          <rPr>
            <sz val="8"/>
            <color indexed="81"/>
            <rFont val="Tahoma"/>
            <family val="2"/>
          </rPr>
          <t>Overall sensitivity 40 kHz.</t>
        </r>
      </text>
    </comment>
    <comment ref="T42" authorId="1" shapeId="0" xr:uid="{E60073A7-2FBE-48C9-9FF3-AA5DA0725375}">
      <text>
        <r>
          <rPr>
            <b/>
            <sz val="12"/>
            <color indexed="81"/>
            <rFont val="Tahoma"/>
            <family val="2"/>
          </rPr>
          <t xml:space="preserve">   Marking ตัวปกติเช่น j.</t>
        </r>
      </text>
    </comment>
    <comment ref="V42" authorId="1" shapeId="0" xr:uid="{2348B357-6B99-45DA-B6E8-8F4B4211456C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<sst xmlns="http://schemas.openxmlformats.org/spreadsheetml/2006/main" count="1437" uniqueCount="562">
  <si>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</si>
  <si>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</si>
  <si>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</si>
  <si>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</si>
  <si>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</si>
  <si>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</si>
  <si>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</si>
  <si>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</si>
  <si>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</si>
  <si>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</si>
  <si>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</si>
  <si>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</si>
  <si>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</si>
  <si>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</si>
  <si>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</si>
  <si>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</si>
  <si>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</si>
  <si>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</si>
  <si>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</si>
  <si>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</si>
  <si>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</si>
  <si>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</si>
  <si>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</si>
  <si>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</si>
  <si>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</si>
  <si>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</si>
  <si>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</si>
  <si>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</si>
  <si>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</si>
  <si>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</si>
  <si>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</si>
  <si>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</si>
  <si>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</si>
  <si>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</si>
  <si>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</si>
  <si>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</si>
  <si>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</si>
  <si>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</si>
  <si>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</si>
  <si>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</si>
  <si>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</si>
  <si>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</si>
  <si>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</si>
  <si>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</si>
  <si>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</si>
  <si>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</si>
  <si>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</si>
  <si>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</si>
  <si>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</si>
  <si>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</si>
  <si>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</si>
  <si>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</si>
  <si>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</si>
  <si>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</si>
  <si>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</si>
  <si>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</si>
  <si>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</si>
  <si>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</si>
  <si>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</si>
  <si>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</si>
  <si>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</si>
  <si>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</si>
  <si>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</si>
  <si>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</si>
  <si>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</si>
  <si>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</si>
  <si>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</si>
  <si>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</si>
  <si>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</si>
  <si>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</si>
  <si>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AS</t>
  </si>
  <si>
    <t>VC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</si>
  <si>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</si>
  <si>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</si>
  <si>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</si>
  <si>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</si>
  <si>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</si>
  <si>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</si>
  <si>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</si>
  <si>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</si>
  <si>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</si>
  <si>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</si>
  <si>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</si>
  <si>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</si>
  <si>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</si>
  <si>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</si>
  <si>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</si>
  <si>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</si>
  <si>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Vernier caliper.</t>
  </si>
  <si>
    <t>Drawing</t>
  </si>
  <si>
    <t>Murata Electronics (Thailand), LTD.</t>
  </si>
  <si>
    <t>Invoice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</si>
  <si>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</si>
  <si>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</si>
  <si>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</si>
  <si>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</si>
  <si>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</si>
  <si>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</si>
  <si>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</si>
  <si>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</si>
  <si>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</si>
  <si>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</si>
  <si>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</si>
  <si>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</si>
  <si>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</si>
  <si>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</si>
  <si>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</si>
  <si>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</si>
  <si>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</si>
  <si>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</si>
  <si>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</si>
  <si>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</si>
  <si>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</si>
  <si>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</si>
  <si>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</si>
  <si>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</si>
  <si>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</si>
  <si>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</si>
  <si>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</si>
  <si>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</si>
  <si>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</si>
  <si>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</si>
  <si>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</si>
  <si>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</si>
  <si>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</si>
  <si>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</si>
  <si>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</si>
  <si>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</si>
  <si>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</si>
  <si>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</si>
  <si>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</si>
  <si>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</si>
  <si>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</si>
  <si>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</si>
  <si>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</si>
  <si>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</si>
  <si>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</si>
  <si>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</si>
  <si>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</si>
  <si>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</si>
  <si>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</si>
  <si>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</si>
  <si>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</si>
  <si>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</si>
  <si>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</si>
  <si>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</si>
  <si>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</si>
  <si>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</si>
  <si>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</si>
  <si>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</si>
  <si>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</si>
  <si>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</si>
  <si>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</si>
  <si>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</si>
  <si>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</si>
  <si>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</si>
  <si>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</si>
  <si>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</si>
  <si>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</si>
  <si>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</si>
  <si>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</si>
  <si>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</si>
  <si>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</si>
  <si>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</si>
  <si>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</si>
  <si>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</si>
  <si>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</si>
  <si>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</si>
  <si>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</si>
  <si>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</si>
  <si>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</si>
  <si>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</si>
  <si>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</si>
  <si>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</si>
  <si>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</si>
  <si>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</si>
  <si>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</si>
  <si>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</si>
  <si>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</si>
  <si>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</si>
  <si>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</si>
  <si>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</si>
  <si>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</si>
  <si>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</si>
  <si>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</si>
  <si>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</si>
  <si>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</si>
  <si>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</si>
  <si>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</si>
  <si>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</si>
  <si>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</si>
  <si>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</si>
  <si>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</si>
  <si>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</si>
  <si>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</si>
  <si>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</si>
  <si>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</si>
  <si>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</si>
  <si>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</si>
  <si>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</si>
  <si>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</si>
  <si>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</si>
  <si>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</si>
  <si>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</si>
  <si>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</si>
  <si>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</si>
  <si>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</si>
  <si>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</si>
  <si>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</si>
  <si>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</si>
  <si>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</si>
  <si>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</si>
  <si>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</si>
  <si>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</si>
  <si>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</si>
  <si>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</si>
  <si>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</si>
  <si>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</si>
  <si>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</si>
  <si>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</si>
  <si>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</si>
  <si>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</si>
  <si>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</si>
  <si>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</si>
  <si>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</si>
  <si>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</si>
  <si>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</si>
  <si>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</si>
  <si>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</si>
  <si>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</si>
  <si>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</si>
  <si>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</si>
  <si>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</si>
  <si>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</si>
  <si>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</si>
  <si>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</si>
  <si>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</si>
  <si>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</si>
  <si>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</si>
  <si>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</si>
  <si>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</si>
  <si>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</si>
  <si>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</si>
  <si>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</si>
  <si>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</si>
  <si>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</si>
  <si>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</si>
  <si>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</si>
  <si>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</si>
  <si>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</si>
  <si>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</si>
  <si>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</si>
  <si>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</si>
  <si>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</si>
  <si>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</si>
  <si>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</si>
  <si>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</si>
  <si>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</si>
  <si>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</si>
  <si>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</si>
  <si>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</si>
  <si>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</si>
  <si>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</si>
  <si>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</si>
  <si>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</si>
  <si>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</si>
  <si>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</si>
  <si>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</si>
  <si>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</si>
  <si>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</si>
  <si>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</si>
  <si>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</si>
  <si>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</si>
  <si>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</si>
  <si>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</si>
  <si>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</si>
  <si>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</si>
  <si>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</si>
  <si>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</si>
  <si>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</si>
  <si>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</si>
  <si>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</si>
  <si>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</si>
  <si>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</si>
  <si>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</si>
  <si>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</si>
  <si>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</si>
  <si>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</si>
  <si>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</si>
  <si>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</si>
  <si>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</si>
  <si>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</si>
  <si>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</si>
  <si>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</si>
  <si>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</si>
  <si>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</si>
  <si>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</si>
  <si>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</si>
  <si>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</si>
  <si>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</si>
  <si>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</si>
  <si>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</si>
  <si>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</si>
  <si>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</si>
  <si>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</si>
  <si>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</si>
  <si>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</si>
  <si>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</si>
  <si>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</si>
  <si>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</si>
  <si>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</si>
  <si>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</si>
  <si>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</si>
  <si>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</si>
  <si>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</si>
  <si>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</si>
  <si>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</si>
  <si>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</si>
  <si>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</si>
  <si>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</si>
  <si>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</si>
  <si>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</si>
  <si>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</si>
  <si>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</si>
  <si>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</si>
  <si>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</si>
  <si>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</si>
  <si>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</si>
  <si>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</si>
  <si>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</si>
  <si>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</si>
  <si>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</si>
  <si>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</si>
  <si>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</si>
  <si>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</si>
  <si>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</si>
  <si>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</si>
  <si>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</si>
  <si>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</si>
  <si>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</si>
  <si>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</si>
  <si>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</si>
  <si>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</si>
  <si>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</si>
  <si>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</si>
  <si>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</si>
  <si>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</si>
  <si>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</si>
  <si>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</si>
  <si>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</si>
  <si>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</si>
  <si>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</si>
  <si>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</si>
  <si>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</si>
  <si>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</si>
  <si>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</si>
  <si>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</si>
  <si>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</si>
  <si>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</si>
  <si>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</si>
  <si>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</si>
  <si>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</si>
  <si>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</si>
  <si>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</si>
  <si>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</si>
  <si>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</si>
  <si>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</si>
  <si>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</si>
  <si>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</si>
  <si>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</si>
  <si>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</si>
  <si>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</si>
  <si>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</si>
  <si>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</si>
  <si>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</si>
  <si>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</si>
  <si>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#179#</t>
  </si>
  <si>
    <t>#189#</t>
  </si>
  <si>
    <t>#199#</t>
  </si>
  <si>
    <t>#176#</t>
  </si>
  <si>
    <t>#186#</t>
  </si>
  <si>
    <t>#196#</t>
  </si>
  <si>
    <t xml:space="preserve">Confrimed :  </t>
  </si>
  <si>
    <t>-</t>
  </si>
  <si>
    <t>1.1.Electrical.</t>
  </si>
  <si>
    <t>R</t>
  </si>
  <si>
    <t>Ruler</t>
  </si>
  <si>
    <t>MM</t>
  </si>
  <si>
    <t>Measuring Microscope.</t>
  </si>
  <si>
    <t>#24#</t>
  </si>
  <si>
    <t>#34#</t>
  </si>
  <si>
    <t>#44#</t>
  </si>
  <si>
    <t>#54#</t>
  </si>
  <si>
    <t>#64#</t>
  </si>
  <si>
    <t>#74#</t>
  </si>
  <si>
    <t>#174#</t>
  </si>
  <si>
    <t>#201#</t>
  </si>
  <si>
    <t>#211#</t>
  </si>
  <si>
    <t>#202#</t>
  </si>
  <si>
    <t>#203#</t>
  </si>
  <si>
    <t>#212#</t>
  </si>
  <si>
    <t>#213#</t>
  </si>
  <si>
    <t>#184#</t>
  </si>
  <si>
    <t>#194#</t>
  </si>
  <si>
    <t>#204#</t>
  </si>
  <si>
    <t>#214#</t>
  </si>
  <si>
    <t>#205#</t>
  </si>
  <si>
    <t>#215#</t>
  </si>
  <si>
    <t>#206#</t>
  </si>
  <si>
    <t>#216#</t>
  </si>
  <si>
    <t>#209#</t>
  </si>
  <si>
    <t>#219#</t>
  </si>
  <si>
    <t>\\163.50.57.106\wwwroot$\FG007\Image\MarkingCode\</t>
  </si>
  <si>
    <t>#16#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</si>
  <si>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</si>
  <si>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</si>
  <si>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</si>
  <si>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</si>
  <si>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</si>
  <si>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</si>
  <si>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</si>
  <si>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</si>
  <si>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</si>
  <si>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</si>
  <si>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</si>
  <si>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</si>
  <si>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</si>
  <si>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</si>
  <si>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</si>
  <si>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</si>
  <si>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</si>
  <si>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</si>
  <si>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</si>
  <si>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</si>
  <si>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</si>
  <si>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</si>
  <si>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</si>
  <si>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</si>
  <si>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</si>
  <si>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</si>
  <si>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</si>
  <si>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</si>
  <si>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</si>
  <si>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</si>
  <si>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</si>
  <si>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</si>
  <si>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</si>
  <si>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</si>
  <si>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</si>
  <si>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</si>
  <si>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</si>
  <si>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</si>
  <si>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</si>
  <si>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</si>
  <si>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</si>
  <si>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#491#</t>
  </si>
  <si>
    <t>#506#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</si>
  <si>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</si>
  <si>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</si>
  <si>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</si>
  <si>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</si>
  <si>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</si>
  <si>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</si>
  <si>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</si>
  <si>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</si>
  <si>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</si>
  <si>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#507#</t>
  </si>
  <si>
    <t>#508#</t>
  </si>
  <si>
    <t>#509#</t>
  </si>
  <si>
    <t>#510#</t>
  </si>
  <si>
    <t>#511#</t>
  </si>
  <si>
    <t>#512#</t>
  </si>
  <si>
    <t>#513#</t>
  </si>
  <si>
    <t>#514#</t>
  </si>
  <si>
    <t>#515#</t>
  </si>
  <si>
    <t>#81#</t>
  </si>
  <si>
    <t>#91#</t>
  </si>
  <si>
    <t>#82#</t>
  </si>
  <si>
    <t>#83#</t>
  </si>
  <si>
    <t>#84#</t>
  </si>
  <si>
    <t>#85#</t>
  </si>
  <si>
    <t>#86#</t>
  </si>
  <si>
    <t>#92#</t>
  </si>
  <si>
    <t>#93#</t>
  </si>
  <si>
    <t>#94#</t>
  </si>
  <si>
    <t>#95#</t>
  </si>
  <si>
    <t>#96#</t>
  </si>
  <si>
    <t>#89#</t>
  </si>
  <si>
    <t>#99#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</si>
  <si>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</si>
  <si>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</si>
  <si>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</si>
  <si>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</si>
  <si>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</si>
  <si>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</si>
  <si>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</si>
  <si>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</si>
  <si>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</si>
  <si>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</si>
  <si>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</si>
  <si>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</si>
  <si>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</si>
  <si>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</si>
  <si>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</si>
  <si>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</si>
  <si>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#332#</t>
  </si>
  <si>
    <t>#333#</t>
  </si>
  <si>
    <t>#334#</t>
  </si>
  <si>
    <t>#335#</t>
  </si>
  <si>
    <t>#19#</t>
  </si>
  <si>
    <t>Murata type 2</t>
  </si>
  <si>
    <t>+</t>
  </si>
  <si>
    <t>00074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</si>
  <si>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</si>
  <si>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</si>
  <si>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</si>
  <si>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</si>
  <si>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</si>
  <si>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</si>
  <si>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</si>
  <si>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</si>
  <si>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LCLW009LG_B21202942S821T72TS2730001;MET/TTE KS(USD);1;20220926;F822K30/NB83-3080054700-2;PIC-00006-J1-0A;S821T72;XX1;MA48AF15-07N;XX2</t>
  </si>
  <si>
    <t>;2223948497;001;T0705;PIC-00006-J1-0A;9100;227MA1698;MA48AF15-07N;TS2730001;2170;125;7/29/2022;25.30;61;34261SUDARAT;I.Ploypairin;14X5= 70 PCs;227MA1698_MarkCD.jpg;;PIC-00006-J1-0A;MET/TTE;;;;|IR [Mohm];&gt;=100;;;;100;KEGX01019;GE972GXS0726;AS;Cf [pF];1500;20%;20%;1800;1200;KEGX01019;GE972GXS0726;AS;Fr [kHz];48.0;2;2;50;46;KEGX01019;GE972GXS0726;AS;Decay_T [ms];&lt;2.2;;;2.20;;KEGX01019;GE972GXS0726;EC;Overall Sens;;;;1000;480;KEGX01019;GE972GXS0726;EC;|A;39;4;4;43;35;KEGX01019;GE972GXS0726;SR;B;9.0;0.1;0.1;9.10;8.90;KEGX01019;GE972GXS0726;VC;|14116;12041;14883;13349;13368;;;;;;Electrical;IR [Mohm];MET/TTE;;;1534.44;1535.40;1549.54;1475.46;1519.13;;;;;;Electrical;Cf [pF];MET/TTE;;;48.35;48.25;48.54;48.07;48.27;;;;;;Electrical;Fr [kHz];MET/TTE;;;1.5490;1.6010;1.5640;1.5820;1.6210;;;;;;Electrical;Decay_T [ms];MET/TTE;;;567;607;646;796;597;;;;;;Electrical;Overall Sens;MET/TTE;;;|39;39;39;39;39;40;40;40;40;40;Dimension;A;MET/TTE;;;8.99;8.99;8.98;8.99;8.98;8.99;8.99;8.98;8.98;8.98;Dimension;B;MET/TTE;;;|G;G;G;G;G;G;G;G;G;G;1.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Terminal bend (เทอร์มินอลเอียง);;;;;G;G;G;G;G;G;G;G;G;G;10. Other (อื่นๆ);;;;;|5;10;10;|</t>
  </si>
  <si>
    <t>2223948497</t>
  </si>
  <si>
    <t>001</t>
  </si>
  <si>
    <t>T0705</t>
  </si>
  <si>
    <t>PIC-00006-J1-0A</t>
  </si>
  <si>
    <t>227MA1698</t>
  </si>
  <si>
    <t>MA48AF15-07N</t>
  </si>
  <si>
    <t>TS2730001</t>
  </si>
  <si>
    <t>29-Jul-2022</t>
  </si>
  <si>
    <t>34261SUDARAT</t>
  </si>
  <si>
    <t>I.Ploypairin</t>
  </si>
  <si>
    <t>14X5= 70 PCs</t>
  </si>
  <si>
    <t>227MA1698_MarkCD.jpg</t>
  </si>
  <si>
    <t>MET/TTE</t>
  </si>
  <si>
    <t>IR [Mohm]</t>
  </si>
  <si>
    <t>&gt;=100</t>
  </si>
  <si>
    <t>KEGX01019</t>
  </si>
  <si>
    <t>GE972GXS0726</t>
  </si>
  <si>
    <t>Cf [pF]</t>
  </si>
  <si>
    <t>Fr [kHz]</t>
  </si>
  <si>
    <t>Decay_T [ms]</t>
  </si>
  <si>
    <t>&lt;2.2</t>
  </si>
  <si>
    <t>Overall Sens</t>
  </si>
  <si>
    <t>A</t>
  </si>
  <si>
    <t>SR</t>
  </si>
  <si>
    <t>B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</si>
  <si>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</si>
  <si>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</si>
  <si>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</si>
  <si>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</si>
  <si>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</si>
  <si>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</si>
  <si>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</si>
  <si>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</si>
  <si>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</si>
  <si>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</si>
  <si>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Terminal bend (เทอร์มินอลเอียง)</t>
  </si>
  <si>
    <t>10. Other (อื่นๆ)</t>
  </si>
  <si>
    <t>MET/TTE KS(USD)</t>
  </si>
  <si>
    <t>MA48AF15-07N     [TTE P/N:PIC-00006-J1-0A]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</si>
</sst>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#,##0.0"/>
    <numFmt numFmtId="181" formatCode="0.0%"/>
  </numFmts>
  <fonts count="71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sz val="14"/>
      <name val="Cordia New"/>
      <family val="2"/>
    </font>
    <font>
      <sz val="8"/>
      <color indexed="8"/>
      <name val="Arial"/>
      <family val="2"/>
    </font>
    <font>
      <b/>
      <sz val="11"/>
      <name val="Cordia New"/>
      <family val="2"/>
    </font>
    <font>
      <b/>
      <sz val="8"/>
      <name val="Arial"/>
      <family val="2"/>
    </font>
    <font>
      <sz val="12"/>
      <name val="IDAutomationHC39M"/>
      <family val="3"/>
    </font>
    <font>
      <sz val="8"/>
      <color indexed="81"/>
      <name val="Tahoma"/>
      <family val="2"/>
    </font>
    <font>
      <sz val="16"/>
      <color theme="1"/>
      <name val="Monotype Corsiva"/>
      <family val="4"/>
    </font>
    <font>
      <sz val="12"/>
      <color theme="1"/>
      <name val="Gigi"/>
      <family val="5"/>
    </font>
    <font>
      <b/>
      <sz val="9"/>
      <color indexed="8"/>
      <name val="Arial"/>
      <family val="2"/>
    </font>
    <font>
      <b/>
      <sz val="16"/>
      <name val="Cordia New"/>
      <family val="2"/>
    </font>
    <font>
      <b/>
      <sz val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45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3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2" applyNumberFormat="0" applyAlignment="0" applyProtection="0">
      <alignment horizontal="left" vertical="center"/>
    </xf>
    <xf numFmtId="0" fontId="9" fillId="0" borderId="4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19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4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5" applyNumberFormat="0" applyFont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4" fillId="0" borderId="0"/>
    <xf numFmtId="0" fontId="28" fillId="10" borderId="37" applyNumberFormat="0" applyAlignment="0" applyProtection="0">
      <alignment vertical="center"/>
    </xf>
    <xf numFmtId="0" fontId="29" fillId="21" borderId="38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9" applyNumberFormat="0" applyFill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35" fillId="0" borderId="41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7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2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  <xf numFmtId="0" fontId="60" fillId="0" borderId="0"/>
  </cellStyleXfs>
  <cellXfs count="288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41" fillId="0" borderId="4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horizontal="left" vertical="center"/>
    </xf>
    <xf numFmtId="0" fontId="41" fillId="0" borderId="4" xfId="110" applyFont="1" applyFill="1" applyBorder="1" applyAlignment="1" applyProtection="1">
      <alignment vertical="center"/>
    </xf>
    <xf numFmtId="0" fontId="41" fillId="0" borderId="5" xfId="110" applyFont="1" applyFill="1" applyBorder="1" applyAlignment="1" applyProtection="1">
      <alignment vertical="center"/>
    </xf>
    <xf numFmtId="0" fontId="40" fillId="0" borderId="4" xfId="110" applyFont="1" applyFill="1" applyBorder="1" applyAlignment="1" applyProtection="1">
      <alignment vertical="center"/>
    </xf>
    <xf numFmtId="0" fontId="41" fillId="0" borderId="4" xfId="110" quotePrefix="1" applyFont="1" applyFill="1" applyBorder="1" applyAlignment="1" applyProtection="1">
      <alignment horizontal="center" vertical="center"/>
      <protection locked="0"/>
    </xf>
    <xf numFmtId="0" fontId="8" fillId="0" borderId="4" xfId="110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7" xfId="5" applyFont="1" applyFill="1" applyBorder="1" applyAlignment="1" applyProtection="1">
      <alignment vertical="center"/>
    </xf>
    <xf numFmtId="0" fontId="6" fillId="3" borderId="30" xfId="5" applyFont="1" applyFill="1" applyBorder="1" applyAlignment="1" applyProtection="1">
      <alignment horizontal="center" vertical="center"/>
      <protection locked="0"/>
    </xf>
    <xf numFmtId="0" fontId="6" fillId="0" borderId="19" xfId="110" applyFont="1" applyFill="1" applyBorder="1" applyAlignment="1" applyProtection="1">
      <alignment vertical="center"/>
    </xf>
    <xf numFmtId="0" fontId="6" fillId="0" borderId="19" xfId="110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46" xfId="110" applyFont="1" applyFill="1" applyBorder="1" applyAlignment="1" applyProtection="1">
      <alignment horizontal="center" vertical="center"/>
    </xf>
    <xf numFmtId="0" fontId="6" fillId="0" borderId="26" xfId="110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0" fontId="0" fillId="24" borderId="7" xfId="0" applyFill="1" applyBorder="1"/>
    <xf numFmtId="0" fontId="0" fillId="24" borderId="0" xfId="0" applyFill="1"/>
    <xf numFmtId="0" fontId="0" fillId="24" borderId="31" xfId="0" applyFill="1" applyBorder="1"/>
    <xf numFmtId="0" fontId="0" fillId="24" borderId="32" xfId="0" applyFill="1" applyBorder="1"/>
    <xf numFmtId="0" fontId="0" fillId="25" borderId="7" xfId="0" applyFill="1" applyBorder="1"/>
    <xf numFmtId="0" fontId="0" fillId="25" borderId="0" xfId="0" applyFill="1"/>
    <xf numFmtId="0" fontId="0" fillId="25" borderId="32" xfId="0" applyFill="1" applyBorder="1"/>
    <xf numFmtId="0" fontId="0" fillId="2" borderId="32" xfId="0" applyFill="1" applyBorder="1"/>
    <xf numFmtId="0" fontId="0" fillId="2" borderId="19" xfId="0" applyFill="1" applyBorder="1"/>
    <xf numFmtId="0" fontId="0" fillId="2" borderId="31" xfId="0" applyFill="1" applyBorder="1"/>
    <xf numFmtId="0" fontId="0" fillId="25" borderId="0" xfId="0" applyFill="1" applyBorder="1"/>
    <xf numFmtId="0" fontId="0" fillId="25" borderId="6" xfId="0" applyFill="1" applyBorder="1"/>
    <xf numFmtId="0" fontId="0" fillId="25" borderId="19" xfId="0" applyFill="1" applyBorder="1"/>
    <xf numFmtId="0" fontId="0" fillId="26" borderId="7" xfId="0" applyFill="1" applyBorder="1"/>
    <xf numFmtId="0" fontId="0" fillId="26" borderId="0" xfId="0" applyFill="1"/>
    <xf numFmtId="0" fontId="0" fillId="26" borderId="19" xfId="0" applyFill="1" applyBorder="1"/>
    <xf numFmtId="0" fontId="0" fillId="25" borderId="31" xfId="0" applyFill="1" applyBorder="1"/>
    <xf numFmtId="9" fontId="0" fillId="24" borderId="7" xfId="0" applyNumberFormat="1" applyFill="1" applyBorder="1"/>
    <xf numFmtId="0" fontId="0" fillId="27" borderId="7" xfId="0" applyFill="1" applyBorder="1"/>
    <xf numFmtId="0" fontId="0" fillId="27" borderId="32" xfId="0" applyFill="1" applyBorder="1"/>
    <xf numFmtId="0" fontId="0" fillId="27" borderId="0" xfId="0" applyFill="1"/>
    <xf numFmtId="0" fontId="0" fillId="27" borderId="31" xfId="0" applyFill="1" applyBorder="1"/>
    <xf numFmtId="0" fontId="6" fillId="0" borderId="0" xfId="144" applyFont="1" applyAlignment="1" applyProtection="1">
      <alignment vertical="center"/>
    </xf>
    <xf numFmtId="0" fontId="39" fillId="0" borderId="0" xfId="144" applyFont="1" applyAlignment="1" applyProtection="1">
      <alignment horizontal="left" vertical="center"/>
    </xf>
    <xf numFmtId="0" fontId="6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vertical="center"/>
    </xf>
    <xf numFmtId="0" fontId="40" fillId="0" borderId="4" xfId="144" applyFont="1" applyFill="1" applyBorder="1" applyAlignment="1" applyProtection="1">
      <alignment vertical="center"/>
    </xf>
    <xf numFmtId="0" fontId="6" fillId="0" borderId="5" xfId="144" applyFont="1" applyBorder="1" applyAlignment="1" applyProtection="1">
      <alignment vertical="center"/>
    </xf>
    <xf numFmtId="0" fontId="8" fillId="0" borderId="4" xfId="110" applyFont="1" applyFill="1" applyBorder="1" applyAlignment="1" applyProtection="1">
      <alignment vertical="center"/>
    </xf>
    <xf numFmtId="0" fontId="8" fillId="0" borderId="3" xfId="144" applyFont="1" applyBorder="1" applyProtection="1"/>
    <xf numFmtId="0" fontId="8" fillId="0" borderId="4" xfId="144" applyFont="1" applyBorder="1"/>
    <xf numFmtId="0" fontId="42" fillId="0" borderId="0" xfId="144" applyFont="1" applyBorder="1"/>
    <xf numFmtId="0" fontId="8" fillId="0" borderId="4" xfId="144" applyFont="1" applyFill="1" applyBorder="1" applyAlignment="1" applyProtection="1">
      <alignment horizontal="right" vertical="center"/>
    </xf>
    <xf numFmtId="0" fontId="6" fillId="0" borderId="0" xfId="144" applyFont="1" applyFill="1" applyAlignment="1" applyProtection="1">
      <alignment vertical="center"/>
    </xf>
    <xf numFmtId="0" fontId="6" fillId="0" borderId="0" xfId="144" applyFont="1" applyFill="1" applyAlignment="1" applyProtection="1">
      <alignment horizontal="center" vertical="center"/>
    </xf>
    <xf numFmtId="0" fontId="5" fillId="0" borderId="1" xfId="144" applyFont="1" applyBorder="1" applyAlignment="1" applyProtection="1">
      <alignment horizontal="center" vertical="center"/>
    </xf>
    <xf numFmtId="0" fontId="5" fillId="0" borderId="0" xfId="144" applyFont="1" applyAlignment="1" applyProtection="1">
      <alignment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167" fontId="61" fillId="0" borderId="1" xfId="110" applyNumberFormat="1" applyFont="1" applyFill="1" applyBorder="1" applyAlignment="1" applyProtection="1">
      <alignment vertical="center"/>
    </xf>
    <xf numFmtId="0" fontId="6" fillId="4" borderId="1" xfId="144" applyFont="1" applyFill="1" applyBorder="1" applyAlignment="1" applyProtection="1">
      <alignment vertical="center"/>
    </xf>
    <xf numFmtId="0" fontId="6" fillId="4" borderId="1" xfId="5" applyFont="1" applyFill="1" applyBorder="1" applyAlignment="1" applyProtection="1">
      <alignment horizontal="center" vertical="center"/>
    </xf>
    <xf numFmtId="0" fontId="4" fillId="0" borderId="24" xfId="144" applyFont="1" applyBorder="1" applyAlignment="1" applyProtection="1">
      <alignment vertical="center"/>
    </xf>
    <xf numFmtId="0" fontId="6" fillId="0" borderId="24" xfId="144" applyFont="1" applyBorder="1" applyAlignment="1" applyProtection="1">
      <alignment vertical="center"/>
    </xf>
    <xf numFmtId="0" fontId="62" fillId="0" borderId="0" xfId="144" applyFont="1" applyBorder="1" applyAlignment="1">
      <alignment wrapText="1"/>
    </xf>
    <xf numFmtId="0" fontId="63" fillId="0" borderId="47" xfId="144" applyFont="1" applyBorder="1" applyAlignment="1" applyProtection="1">
      <alignment horizontal="left" vertical="center"/>
    </xf>
    <xf numFmtId="0" fontId="6" fillId="0" borderId="18" xfId="144" applyFont="1" applyBorder="1" applyAlignment="1" applyProtection="1">
      <alignment vertical="center"/>
    </xf>
    <xf numFmtId="0" fontId="6" fillId="0" borderId="19" xfId="144" applyFont="1" applyBorder="1" applyAlignment="1" applyProtection="1">
      <alignment vertical="center"/>
    </xf>
    <xf numFmtId="0" fontId="6" fillId="0" borderId="48" xfId="110" applyFont="1" applyFill="1" applyBorder="1" applyAlignment="1" applyProtection="1">
      <alignment horizontal="center" vertical="center"/>
    </xf>
    <xf numFmtId="0" fontId="6" fillId="0" borderId="49" xfId="110" applyFont="1" applyFill="1" applyBorder="1" applyAlignment="1" applyProtection="1">
      <alignment horizontal="center" vertical="center"/>
    </xf>
    <xf numFmtId="0" fontId="6" fillId="0" borderId="0" xfId="144" applyFont="1" applyBorder="1" applyAlignment="1" applyProtection="1">
      <alignment horizontal="center" vertical="center"/>
    </xf>
    <xf numFmtId="0" fontId="6" fillId="0" borderId="17" xfId="144" applyFont="1" applyBorder="1" applyAlignment="1" applyProtection="1">
      <alignment vertical="center"/>
    </xf>
    <xf numFmtId="0" fontId="6" fillId="0" borderId="19" xfId="144" applyFont="1" applyBorder="1" applyAlignment="1" applyProtection="1">
      <alignment horizontal="center" vertical="center"/>
    </xf>
    <xf numFmtId="0" fontId="6" fillId="0" borderId="20" xfId="144" applyFont="1" applyBorder="1" applyAlignment="1" applyProtection="1">
      <alignment vertical="center"/>
    </xf>
    <xf numFmtId="0" fontId="7" fillId="0" borderId="0" xfId="144" applyFont="1" applyAlignment="1" applyProtection="1">
      <alignment horizontal="right" vertical="center"/>
    </xf>
    <xf numFmtId="0" fontId="6" fillId="29" borderId="1" xfId="110" applyFont="1" applyFill="1" applyBorder="1" applyAlignment="1" applyProtection="1">
      <alignment horizontal="center" vertical="center"/>
    </xf>
    <xf numFmtId="0" fontId="6" fillId="0" borderId="0" xfId="144" quotePrefix="1" applyFont="1" applyAlignment="1" applyProtection="1">
      <alignment horizontal="right" vertical="top"/>
    </xf>
    <xf numFmtId="0" fontId="5" fillId="0" borderId="1" xfId="110" applyFont="1" applyFill="1" applyBorder="1" applyAlignment="1" applyProtection="1">
      <alignment horizontal="center" vertical="center"/>
    </xf>
    <xf numFmtId="1" fontId="44" fillId="29" borderId="1" xfId="110" applyNumberFormat="1" applyFont="1" applyFill="1" applyBorder="1" applyAlignment="1" applyProtection="1">
      <alignment horizontal="center" vertical="center"/>
      <protection locked="0"/>
    </xf>
    <xf numFmtId="167" fontId="44" fillId="29" borderId="1" xfId="110" applyNumberFormat="1" applyFont="1" applyFill="1" applyBorder="1" applyAlignment="1" applyProtection="1">
      <alignment horizontal="center" vertical="center"/>
      <protection locked="0"/>
    </xf>
    <xf numFmtId="0" fontId="6" fillId="0" borderId="28" xfId="144" applyFont="1" applyBorder="1" applyAlignment="1" applyProtection="1">
      <alignment vertical="center"/>
    </xf>
    <xf numFmtId="0" fontId="6" fillId="0" borderId="28" xfId="5" applyFont="1" applyFill="1" applyBorder="1" applyAlignment="1" applyProtection="1">
      <alignment vertical="center"/>
    </xf>
    <xf numFmtId="0" fontId="6" fillId="0" borderId="29" xfId="5" applyFont="1" applyFill="1" applyBorder="1" applyAlignment="1" applyProtection="1">
      <alignment vertical="center"/>
    </xf>
    <xf numFmtId="0" fontId="66" fillId="0" borderId="19" xfId="110" applyFont="1" applyFill="1" applyBorder="1" applyAlignment="1" applyProtection="1">
      <alignment vertical="center"/>
      <protection locked="0"/>
    </xf>
    <xf numFmtId="0" fontId="67" fillId="0" borderId="20" xfId="110" applyFont="1" applyFill="1" applyBorder="1" applyAlignment="1" applyProtection="1">
      <alignment horizontal="center" vertical="center" shrinkToFit="1"/>
      <protection locked="0" hidden="1"/>
    </xf>
    <xf numFmtId="49" fontId="0" fillId="2" borderId="0" xfId="0" applyNumberFormat="1" applyFill="1"/>
    <xf numFmtId="0" fontId="6" fillId="0" borderId="51" xfId="110" applyFont="1" applyFill="1" applyBorder="1" applyAlignment="1" applyProtection="1">
      <alignment vertical="center"/>
    </xf>
    <xf numFmtId="0" fontId="6" fillId="0" borderId="53" xfId="144" applyFont="1" applyBorder="1" applyAlignment="1" applyProtection="1">
      <alignment vertical="center"/>
    </xf>
    <xf numFmtId="0" fontId="4" fillId="0" borderId="0" xfId="144" applyFont="1" applyBorder="1" applyAlignment="1" applyProtection="1">
      <alignment vertical="center"/>
    </xf>
    <xf numFmtId="0" fontId="4" fillId="0" borderId="19" xfId="144" applyFont="1" applyBorder="1" applyAlignment="1" applyProtection="1">
      <alignment vertical="center"/>
    </xf>
    <xf numFmtId="0" fontId="6" fillId="0" borderId="0" xfId="144" applyFont="1" applyFill="1" applyBorder="1" applyAlignment="1" applyProtection="1">
      <alignment vertical="center"/>
    </xf>
    <xf numFmtId="0" fontId="6" fillId="0" borderId="2" xfId="144" applyFont="1" applyBorder="1" applyAlignment="1" applyProtection="1">
      <alignment vertical="center"/>
    </xf>
    <xf numFmtId="0" fontId="4" fillId="0" borderId="22" xfId="144" applyFont="1" applyBorder="1" applyAlignment="1" applyProtection="1">
      <alignment vertical="center"/>
    </xf>
    <xf numFmtId="0" fontId="4" fillId="0" borderId="18" xfId="144" applyFont="1" applyBorder="1" applyAlignment="1" applyProtection="1">
      <alignment vertical="center"/>
    </xf>
    <xf numFmtId="0" fontId="6" fillId="0" borderId="27" xfId="144" applyFont="1" applyBorder="1" applyAlignment="1" applyProtection="1">
      <alignment vertical="center"/>
    </xf>
    <xf numFmtId="0" fontId="50" fillId="0" borderId="28" xfId="144" applyFont="1" applyBorder="1" applyAlignment="1" applyProtection="1">
      <alignment vertical="center"/>
    </xf>
    <xf numFmtId="0" fontId="51" fillId="0" borderId="0" xfId="144" applyFont="1" applyBorder="1" applyAlignment="1" applyProtection="1">
      <alignment vertical="center"/>
    </xf>
    <xf numFmtId="1" fontId="68" fillId="0" borderId="1" xfId="5" applyNumberFormat="1" applyFont="1" applyFill="1" applyBorder="1" applyAlignment="1" applyProtection="1">
      <alignment horizontal="center" vertical="center"/>
    </xf>
    <xf numFmtId="49" fontId="44" fillId="0" borderId="1" xfId="110" applyNumberFormat="1" applyFont="1" applyFill="1" applyBorder="1" applyAlignment="1" applyProtection="1">
      <alignment horizontal="center" vertical="center"/>
    </xf>
    <xf numFmtId="0" fontId="66" fillId="0" borderId="19" xfId="110" applyFont="1" applyFill="1" applyBorder="1" applyAlignment="1" applyProtection="1">
      <alignment horizontal="center" vertical="center"/>
      <protection locked="0"/>
    </xf>
    <xf numFmtId="180" fontId="68" fillId="0" borderId="1" xfId="110" applyNumberFormat="1" applyFont="1" applyFill="1" applyBorder="1" applyAlignment="1" applyProtection="1">
      <alignment horizontal="center" vertical="center"/>
    </xf>
    <xf numFmtId="4" fontId="44" fillId="29" borderId="1" xfId="110" applyNumberFormat="1" applyFont="1" applyFill="1" applyBorder="1" applyAlignment="1" applyProtection="1">
      <alignment horizontal="center" vertical="center"/>
      <protection locked="0"/>
    </xf>
    <xf numFmtId="4" fontId="54" fillId="29" borderId="1" xfId="110" applyNumberFormat="1" applyFont="1" applyFill="1" applyBorder="1" applyAlignment="1" applyProtection="1">
      <alignment horizontal="center" vertical="center"/>
      <protection locked="0"/>
    </xf>
    <xf numFmtId="3" fontId="44" fillId="0" borderId="1" xfId="110" applyNumberFormat="1" applyFont="1" applyFill="1" applyBorder="1" applyAlignment="1" applyProtection="1">
      <alignment horizontal="center" vertical="center"/>
    </xf>
    <xf numFmtId="3" fontId="44" fillId="0" borderId="1" xfId="5" applyNumberFormat="1" applyFont="1" applyFill="1" applyBorder="1" applyAlignment="1" applyProtection="1">
      <alignment horizontal="center" vertical="center"/>
    </xf>
    <xf numFmtId="3" fontId="44" fillId="29" borderId="1" xfId="110" applyNumberFormat="1" applyFont="1" applyFill="1" applyBorder="1" applyAlignment="1" applyProtection="1">
      <alignment horizontal="center" vertical="center"/>
      <protection locked="0"/>
    </xf>
    <xf numFmtId="180" fontId="44" fillId="0" borderId="1" xfId="110" applyNumberFormat="1" applyFont="1" applyFill="1" applyBorder="1" applyAlignment="1" applyProtection="1">
      <alignment horizontal="center" vertical="center"/>
    </xf>
    <xf numFmtId="180" fontId="44" fillId="0" borderId="1" xfId="5" applyNumberFormat="1" applyFont="1" applyFill="1" applyBorder="1" applyAlignment="1" applyProtection="1">
      <alignment horizontal="center" vertical="center"/>
    </xf>
    <xf numFmtId="180" fontId="44" fillId="29" borderId="1" xfId="110" applyNumberFormat="1" applyFont="1" applyFill="1" applyBorder="1" applyAlignment="1" applyProtection="1">
      <alignment horizontal="center" vertical="center"/>
      <protection locked="0"/>
    </xf>
    <xf numFmtId="0" fontId="6" fillId="3" borderId="57" xfId="5" applyFont="1" applyFill="1" applyBorder="1" applyAlignment="1" applyProtection="1">
      <alignment horizontal="center" vertical="center"/>
      <protection locked="0"/>
    </xf>
    <xf numFmtId="2" fontId="68" fillId="0" borderId="1" xfId="5" applyNumberFormat="1" applyFont="1" applyFill="1" applyBorder="1" applyAlignment="1" applyProtection="1">
      <alignment horizontal="center" vertical="center"/>
    </xf>
    <xf numFmtId="2" fontId="44" fillId="29" borderId="1" xfId="110" applyNumberFormat="1" applyFont="1" applyFill="1" applyBorder="1" applyAlignment="1" applyProtection="1">
      <alignment horizontal="center" vertical="center"/>
      <protection locked="0"/>
    </xf>
    <xf numFmtId="2" fontId="44" fillId="0" borderId="1" xfId="110" quotePrefix="1" applyNumberFormat="1" applyFont="1" applyFill="1" applyBorder="1" applyAlignment="1" applyProtection="1">
      <alignment horizontal="center" vertical="center"/>
    </xf>
    <xf numFmtId="2" fontId="68" fillId="0" borderId="1" xfId="110" applyNumberFormat="1" applyFont="1" applyFill="1" applyBorder="1" applyAlignment="1" applyProtection="1">
      <alignment horizontal="center" vertical="center"/>
    </xf>
    <xf numFmtId="1" fontId="6" fillId="0" borderId="1" xfId="144" applyNumberFormat="1" applyFont="1" applyBorder="1" applyAlignment="1" applyProtection="1">
      <alignment horizontal="center" vertical="center"/>
    </xf>
    <xf numFmtId="1" fontId="5" fillId="0" borderId="1" xfId="144" applyNumberFormat="1" applyFont="1" applyBorder="1" applyAlignment="1" applyProtection="1">
      <alignment horizontal="center" vertical="center"/>
    </xf>
    <xf numFmtId="2" fontId="44" fillId="0" borderId="1" xfId="5" applyNumberFormat="1" applyFont="1" applyFill="1" applyBorder="1" applyAlignment="1" applyProtection="1">
      <alignment horizontal="center" vertical="center"/>
    </xf>
    <xf numFmtId="1" fontId="68" fillId="0" borderId="1" xfId="110" applyNumberFormat="1" applyFont="1" applyFill="1" applyBorder="1" applyAlignment="1" applyProtection="1">
      <alignment horizontal="center"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1" fontId="7" fillId="29" borderId="1" xfId="144" applyNumberFormat="1" applyFont="1" applyFill="1" applyBorder="1" applyAlignment="1" applyProtection="1">
      <alignment horizontal="center" vertical="center"/>
      <protection locked="0"/>
    </xf>
    <xf numFmtId="0" fontId="70" fillId="3" borderId="3" xfId="144" applyFont="1" applyFill="1" applyBorder="1" applyAlignment="1" applyProtection="1">
      <alignment horizontal="center" vertical="center"/>
      <protection locked="0"/>
    </xf>
    <xf numFmtId="0" fontId="70" fillId="3" borderId="4" xfId="110" applyFont="1" applyFill="1" applyBorder="1" applyAlignment="1" applyProtection="1">
      <alignment horizontal="center" vertical="center"/>
      <protection locked="0"/>
    </xf>
    <xf numFmtId="167" fontId="68" fillId="0" borderId="1" xfId="5" applyNumberFormat="1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181" fontId="61" fillId="0" borderId="1" xfId="5" applyNumberFormat="1" applyFont="1" applyFill="1" applyBorder="1" applyAlignment="1" applyProtection="1">
      <alignment horizontal="center" vertical="center"/>
    </xf>
    <xf numFmtId="180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quotePrefix="1" applyNumberFormat="1" applyFont="1" applyFill="1" applyBorder="1" applyAlignment="1" applyProtection="1">
      <alignment horizontal="center" vertical="center"/>
    </xf>
    <xf numFmtId="4" fontId="44" fillId="0" borderId="1" xfId="5" applyNumberFormat="1" applyFont="1" applyFill="1" applyBorder="1" applyAlignment="1" applyProtection="1">
      <alignment horizontal="center" vertical="center"/>
    </xf>
    <xf numFmtId="0" fontId="9" fillId="0" borderId="3" xfId="110" applyFont="1" applyFill="1" applyBorder="1" applyAlignment="1" applyProtection="1">
      <alignment horizontal="left" vertical="center"/>
    </xf>
    <xf numFmtId="0" fontId="41" fillId="0" borderId="4" xfId="110" applyFont="1" applyFill="1" applyBorder="1" applyAlignment="1" applyProtection="1">
      <alignment horizontal="center" vertical="center"/>
    </xf>
    <xf numFmtId="0" fontId="41" fillId="3" borderId="3" xfId="110" applyFont="1" applyFill="1" applyBorder="1" applyAlignment="1" applyProtection="1">
      <alignment horizontal="center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60" fillId="0" borderId="0" xfId="144" applyBorder="1"/>
    <xf numFmtId="0" fontId="5" fillId="0" borderId="19" xfId="110" applyFont="1" applyFill="1" applyBorder="1" applyAlignment="1" applyProtection="1">
      <alignment horizontal="center" vertical="center"/>
    </xf>
    <xf numFmtId="0" fontId="6" fillId="0" borderId="4" xfId="144" applyFont="1" applyBorder="1" applyAlignment="1" applyProtection="1">
      <alignment vertical="center"/>
    </xf>
    <xf numFmtId="14" fontId="0" fillId="2" borderId="0" xfId="0" quotePrefix="1" applyNumberFormat="1" applyFill="1"/>
    <xf numFmtId="0" fontId="9" fillId="0" borderId="3" xfId="110" applyFont="1" applyFill="1" applyBorder="1" applyAlignment="1" applyProtection="1">
      <alignment horizontal="left" vertical="center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41" fillId="3" borderId="3" xfId="110" applyFont="1" applyFill="1" applyBorder="1" applyAlignment="1" applyProtection="1">
      <alignment horizontal="left" vertical="center"/>
      <protection locked="0"/>
    </xf>
    <xf numFmtId="0" fontId="41" fillId="3" borderId="4" xfId="110" quotePrefix="1" applyFont="1" applyFill="1" applyBorder="1" applyAlignment="1" applyProtection="1">
      <alignment horizontal="left" vertical="center"/>
      <protection locked="0"/>
    </xf>
    <xf numFmtId="49" fontId="9" fillId="0" borderId="3" xfId="110" applyNumberFormat="1" applyFont="1" applyFill="1" applyBorder="1" applyAlignment="1" applyProtection="1">
      <alignment horizontal="left" vertical="center"/>
      <protection locked="0"/>
    </xf>
    <xf numFmtId="49" fontId="9" fillId="0" borderId="4" xfId="110" quotePrefix="1" applyNumberFormat="1" applyFont="1" applyFill="1" applyBorder="1" applyAlignment="1" applyProtection="1">
      <alignment horizontal="left" vertical="center"/>
      <protection locked="0"/>
    </xf>
    <xf numFmtId="0" fontId="41" fillId="3" borderId="3" xfId="110" applyFont="1" applyFill="1" applyBorder="1" applyAlignment="1" applyProtection="1">
      <alignment horizontal="center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3" fillId="23" borderId="3" xfId="110" applyFont="1" applyFill="1" applyBorder="1" applyAlignment="1" applyProtection="1">
      <alignment horizontal="center" vertical="center"/>
    </xf>
    <xf numFmtId="0" fontId="43" fillId="23" borderId="4" xfId="110" applyFont="1" applyFill="1" applyBorder="1" applyAlignment="1" applyProtection="1">
      <alignment horizontal="center" vertical="center"/>
    </xf>
    <xf numFmtId="0" fontId="41" fillId="0" borderId="4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5" fillId="0" borderId="3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6" fillId="0" borderId="52" xfId="144" applyFont="1" applyFill="1" applyBorder="1" applyAlignment="1" applyProtection="1">
      <alignment horizontal="center" vertical="center"/>
    </xf>
    <xf numFmtId="0" fontId="6" fillId="0" borderId="55" xfId="144" applyFont="1" applyFill="1" applyBorder="1" applyAlignment="1" applyProtection="1">
      <alignment horizontal="center" vertical="center"/>
    </xf>
    <xf numFmtId="0" fontId="6" fillId="0" borderId="53" xfId="144" applyFont="1" applyFill="1" applyBorder="1" applyAlignment="1" applyProtection="1">
      <alignment horizontal="center" vertical="center"/>
    </xf>
    <xf numFmtId="0" fontId="6" fillId="0" borderId="50" xfId="144" applyFont="1" applyFill="1" applyBorder="1" applyAlignment="1" applyProtection="1">
      <alignment horizontal="center" vertical="center"/>
    </xf>
    <xf numFmtId="0" fontId="6" fillId="0" borderId="54" xfId="144" applyFont="1" applyFill="1" applyBorder="1" applyAlignment="1" applyProtection="1">
      <alignment horizontal="center" vertical="center"/>
    </xf>
    <xf numFmtId="0" fontId="6" fillId="0" borderId="56" xfId="144" applyFont="1" applyFill="1" applyBorder="1" applyAlignment="1" applyProtection="1">
      <alignment horizontal="center" vertical="center"/>
    </xf>
    <xf numFmtId="1" fontId="6" fillId="0" borderId="3" xfId="110" applyNumberFormat="1" applyFont="1" applyFill="1" applyBorder="1" applyAlignment="1" applyProtection="1">
      <alignment horizontal="center" vertical="center"/>
    </xf>
    <xf numFmtId="1" fontId="6" fillId="0" borderId="5" xfId="110" applyNumberFormat="1" applyFont="1" applyFill="1" applyBorder="1" applyAlignment="1" applyProtection="1">
      <alignment horizontal="center" vertical="center"/>
    </xf>
    <xf numFmtId="180" fontId="6" fillId="0" borderId="3" xfId="110" applyNumberFormat="1" applyFont="1" applyFill="1" applyBorder="1" applyAlignment="1" applyProtection="1">
      <alignment horizontal="center" vertical="center"/>
    </xf>
    <xf numFmtId="180" fontId="6" fillId="0" borderId="5" xfId="110" applyNumberFormat="1" applyFont="1" applyFill="1" applyBorder="1" applyAlignment="1" applyProtection="1">
      <alignment horizontal="center" vertical="center"/>
    </xf>
    <xf numFmtId="167" fontId="6" fillId="0" borderId="3" xfId="110" applyNumberFormat="1" applyFont="1" applyFill="1" applyBorder="1" applyAlignment="1" applyProtection="1">
      <alignment horizontal="center" vertical="center"/>
    </xf>
    <xf numFmtId="167" fontId="6" fillId="0" borderId="5" xfId="110" applyNumberFormat="1" applyFont="1" applyFill="1" applyBorder="1" applyAlignment="1" applyProtection="1">
      <alignment horizontal="center" vertical="center"/>
    </xf>
    <xf numFmtId="2" fontId="6" fillId="0" borderId="3" xfId="110" applyNumberFormat="1" applyFont="1" applyFill="1" applyBorder="1" applyAlignment="1" applyProtection="1">
      <alignment horizontal="center" vertical="center"/>
    </xf>
    <xf numFmtId="2" fontId="6" fillId="0" borderId="5" xfId="110" applyNumberFormat="1" applyFont="1" applyFill="1" applyBorder="1" applyAlignment="1" applyProtection="1">
      <alignment horizontal="center" vertical="center"/>
    </xf>
    <xf numFmtId="167" fontId="61" fillId="0" borderId="3" xfId="110" applyNumberFormat="1" applyFont="1" applyFill="1" applyBorder="1" applyAlignment="1" applyProtection="1">
      <alignment horizontal="left" vertical="center"/>
    </xf>
    <xf numFmtId="167" fontId="61" fillId="0" borderId="4" xfId="110" applyNumberFormat="1" applyFont="1" applyFill="1" applyBorder="1" applyAlignment="1" applyProtection="1">
      <alignment horizontal="left" vertical="center"/>
    </xf>
    <xf numFmtId="167" fontId="61" fillId="0" borderId="5" xfId="110" applyNumberFormat="1" applyFont="1" applyFill="1" applyBorder="1" applyAlignment="1" applyProtection="1">
      <alignment horizontal="left" vertical="center"/>
    </xf>
    <xf numFmtId="0" fontId="5" fillId="28" borderId="3" xfId="110" applyFont="1" applyFill="1" applyBorder="1" applyAlignment="1" applyProtection="1">
      <alignment horizontal="center" vertical="center"/>
      <protection locked="0"/>
    </xf>
    <xf numFmtId="0" fontId="5" fillId="28" borderId="5" xfId="110" applyFont="1" applyFill="1" applyBorder="1" applyAlignment="1" applyProtection="1">
      <alignment horizontal="center" vertical="center"/>
      <protection locked="0"/>
    </xf>
    <xf numFmtId="0" fontId="6" fillId="0" borderId="52" xfId="144" applyFont="1" applyBorder="1" applyAlignment="1" applyProtection="1">
      <alignment horizontal="center" vertical="center"/>
    </xf>
    <xf numFmtId="0" fontId="6" fillId="0" borderId="55" xfId="144" applyFont="1" applyBorder="1" applyAlignment="1" applyProtection="1">
      <alignment horizontal="center" vertical="center"/>
    </xf>
    <xf numFmtId="0" fontId="6" fillId="0" borderId="53" xfId="144" applyFont="1" applyBorder="1" applyAlignment="1" applyProtection="1">
      <alignment horizontal="center" vertical="center"/>
    </xf>
    <xf numFmtId="0" fontId="6" fillId="0" borderId="50" xfId="144" applyFont="1" applyBorder="1" applyAlignment="1" applyProtection="1">
      <alignment horizontal="center" vertical="center"/>
    </xf>
    <xf numFmtId="0" fontId="6" fillId="0" borderId="54" xfId="144" applyFont="1" applyBorder="1" applyAlignment="1" applyProtection="1">
      <alignment horizontal="center" vertical="center"/>
    </xf>
    <xf numFmtId="0" fontId="6" fillId="0" borderId="56" xfId="144" applyFont="1" applyBorder="1" applyAlignment="1" applyProtection="1">
      <alignment horizontal="center" vertical="center"/>
    </xf>
    <xf numFmtId="0" fontId="63" fillId="0" borderId="43" xfId="144" applyFont="1" applyBorder="1" applyAlignment="1" applyProtection="1">
      <alignment horizontal="center" vertical="center"/>
    </xf>
    <xf numFmtId="0" fontId="63" fillId="0" borderId="44" xfId="144" applyFont="1" applyBorder="1" applyAlignment="1" applyProtection="1">
      <alignment horizontal="center" vertical="center"/>
    </xf>
    <xf numFmtId="0" fontId="63" fillId="0" borderId="45" xfId="144" applyFont="1" applyBorder="1" applyAlignment="1" applyProtection="1">
      <alignment horizontal="center" vertical="center"/>
    </xf>
    <xf numFmtId="0" fontId="63" fillId="0" borderId="8" xfId="5" applyFont="1" applyFill="1" applyBorder="1" applyAlignment="1" applyProtection="1">
      <alignment horizontal="center" vertical="center"/>
    </xf>
    <xf numFmtId="0" fontId="63" fillId="0" borderId="12" xfId="5" applyFont="1" applyFill="1" applyBorder="1" applyAlignment="1" applyProtection="1">
      <alignment horizontal="center" vertical="center"/>
    </xf>
    <xf numFmtId="0" fontId="63" fillId="0" borderId="9" xfId="5" applyFont="1" applyFill="1" applyBorder="1" applyAlignment="1" applyProtection="1">
      <alignment horizontal="center" vertical="center"/>
    </xf>
    <xf numFmtId="0" fontId="1" fillId="0" borderId="24" xfId="144" applyFont="1" applyBorder="1" applyAlignment="1" applyProtection="1">
      <alignment horizontal="center" vertical="center"/>
    </xf>
    <xf numFmtId="0" fontId="1" fillId="0" borderId="0" xfId="144" applyFont="1" applyBorder="1" applyAlignment="1" applyProtection="1">
      <alignment horizontal="center" vertical="center"/>
    </xf>
    <xf numFmtId="0" fontId="1" fillId="0" borderId="17" xfId="144" applyFont="1" applyBorder="1" applyAlignment="1" applyProtection="1">
      <alignment horizontal="center" vertical="center"/>
    </xf>
    <xf numFmtId="0" fontId="4" fillId="0" borderId="58" xfId="144" applyFont="1" applyBorder="1" applyAlignment="1" applyProtection="1">
      <alignment horizontal="left" vertical="center"/>
    </xf>
    <xf numFmtId="0" fontId="4" fillId="0" borderId="13" xfId="144" applyFont="1" applyBorder="1" applyAlignment="1" applyProtection="1">
      <alignment horizontal="left" vertical="center"/>
    </xf>
    <xf numFmtId="0" fontId="4" fillId="0" borderId="15" xfId="144" applyFont="1" applyBorder="1" applyAlignment="1" applyProtection="1">
      <alignment horizontal="left" vertical="center"/>
    </xf>
    <xf numFmtId="0" fontId="1" fillId="0" borderId="21" xfId="144" applyFont="1" applyBorder="1" applyAlignment="1" applyProtection="1">
      <alignment horizontal="center" vertical="center"/>
    </xf>
    <xf numFmtId="0" fontId="1" fillId="0" borderId="2" xfId="144" applyFont="1" applyBorder="1" applyAlignment="1" applyProtection="1">
      <alignment horizontal="center" vertical="center"/>
    </xf>
    <xf numFmtId="0" fontId="1" fillId="0" borderId="30" xfId="144" applyFont="1" applyBorder="1" applyAlignment="1" applyProtection="1">
      <alignment horizontal="center" vertical="center"/>
    </xf>
    <xf numFmtId="0" fontId="4" fillId="0" borderId="59" xfId="144" applyFont="1" applyBorder="1" applyAlignment="1" applyProtection="1">
      <alignment horizontal="left" vertical="center"/>
    </xf>
    <xf numFmtId="0" fontId="4" fillId="0" borderId="4" xfId="144" applyFont="1" applyBorder="1" applyAlignment="1" applyProtection="1">
      <alignment horizontal="left" vertical="center"/>
    </xf>
    <xf numFmtId="0" fontId="4" fillId="0" borderId="23" xfId="144" applyFont="1" applyBorder="1" applyAlignment="1" applyProtection="1">
      <alignment horizontal="left" vertical="center"/>
    </xf>
    <xf numFmtId="0" fontId="9" fillId="0" borderId="27" xfId="144" applyFont="1" applyBorder="1" applyAlignment="1" applyProtection="1">
      <alignment horizontal="center" vertical="center" wrapText="1"/>
    </xf>
    <xf numFmtId="0" fontId="9" fillId="0" borderId="28" xfId="144" applyFont="1" applyBorder="1" applyAlignment="1" applyProtection="1">
      <alignment horizontal="center" vertical="center" wrapText="1"/>
    </xf>
    <xf numFmtId="0" fontId="9" fillId="0" borderId="29" xfId="144" applyFont="1" applyBorder="1" applyAlignment="1" applyProtection="1">
      <alignment horizontal="center" vertical="center" wrapText="1"/>
    </xf>
    <xf numFmtId="0" fontId="9" fillId="0" borderId="24" xfId="144" applyFont="1" applyBorder="1" applyAlignment="1" applyProtection="1">
      <alignment horizontal="center" vertical="center" wrapText="1"/>
    </xf>
    <xf numFmtId="0" fontId="9" fillId="0" borderId="0" xfId="144" applyFont="1" applyBorder="1" applyAlignment="1" applyProtection="1">
      <alignment horizontal="center" vertical="center" wrapText="1"/>
    </xf>
    <xf numFmtId="0" fontId="9" fillId="0" borderId="17" xfId="144" applyFont="1" applyBorder="1" applyAlignment="1" applyProtection="1">
      <alignment horizontal="center" vertical="center" wrapText="1"/>
    </xf>
    <xf numFmtId="0" fontId="9" fillId="0" borderId="18" xfId="144" applyFont="1" applyBorder="1" applyAlignment="1" applyProtection="1">
      <alignment horizontal="center" vertical="center" wrapText="1"/>
    </xf>
    <xf numFmtId="0" fontId="9" fillId="0" borderId="19" xfId="144" applyFont="1" applyBorder="1" applyAlignment="1" applyProtection="1">
      <alignment horizontal="center" vertical="center" wrapText="1"/>
    </xf>
    <xf numFmtId="0" fontId="9" fillId="0" borderId="20" xfId="144" applyFont="1" applyBorder="1" applyAlignment="1" applyProtection="1">
      <alignment horizontal="center" vertical="center" wrapText="1"/>
    </xf>
    <xf numFmtId="2" fontId="45" fillId="3" borderId="27" xfId="110" applyNumberFormat="1" applyFont="1" applyFill="1" applyBorder="1" applyAlignment="1" applyProtection="1">
      <alignment horizontal="center" vertical="center"/>
    </xf>
    <xf numFmtId="0" fontId="46" fillId="3" borderId="28" xfId="144" applyFont="1" applyFill="1" applyBorder="1" applyAlignment="1" applyProtection="1">
      <alignment horizontal="center" vertical="center"/>
    </xf>
    <xf numFmtId="0" fontId="46" fillId="3" borderId="29" xfId="144" applyFont="1" applyFill="1" applyBorder="1" applyAlignment="1" applyProtection="1">
      <alignment horizontal="center" vertical="center"/>
    </xf>
    <xf numFmtId="0" fontId="46" fillId="3" borderId="24" xfId="144" applyFont="1" applyFill="1" applyBorder="1" applyAlignment="1" applyProtection="1">
      <alignment horizontal="center" vertical="center"/>
    </xf>
    <xf numFmtId="0" fontId="46" fillId="3" borderId="0" xfId="144" applyFont="1" applyFill="1" applyBorder="1" applyAlignment="1" applyProtection="1">
      <alignment horizontal="center" vertical="center"/>
    </xf>
    <xf numFmtId="0" fontId="46" fillId="3" borderId="17" xfId="144" applyFont="1" applyFill="1" applyBorder="1" applyAlignment="1" applyProtection="1">
      <alignment horizontal="center" vertical="center"/>
    </xf>
    <xf numFmtId="0" fontId="46" fillId="3" borderId="18" xfId="144" applyFont="1" applyFill="1" applyBorder="1" applyAlignment="1" applyProtection="1">
      <alignment horizontal="center" vertical="center"/>
    </xf>
    <xf numFmtId="0" fontId="46" fillId="3" borderId="19" xfId="144" applyFont="1" applyFill="1" applyBorder="1" applyAlignment="1" applyProtection="1">
      <alignment horizontal="center" vertical="center"/>
    </xf>
    <xf numFmtId="0" fontId="46" fillId="3" borderId="20" xfId="144" applyFont="1" applyFill="1" applyBorder="1" applyAlignment="1" applyProtection="1">
      <alignment horizontal="center" vertical="center"/>
    </xf>
    <xf numFmtId="2" fontId="9" fillId="0" borderId="27" xfId="110" applyNumberFormat="1" applyFont="1" applyFill="1" applyBorder="1" applyAlignment="1" applyProtection="1">
      <alignment horizontal="center" vertical="center"/>
    </xf>
    <xf numFmtId="0" fontId="60" fillId="0" borderId="28" xfId="144" applyBorder="1" applyAlignment="1" applyProtection="1">
      <alignment horizontal="center" vertical="center"/>
    </xf>
    <xf numFmtId="0" fontId="60" fillId="0" borderId="29" xfId="144" applyBorder="1" applyAlignment="1" applyProtection="1">
      <alignment horizontal="center" vertical="center"/>
    </xf>
    <xf numFmtId="0" fontId="60" fillId="0" borderId="24" xfId="144" applyBorder="1" applyAlignment="1" applyProtection="1">
      <alignment horizontal="center" vertical="center"/>
    </xf>
    <xf numFmtId="0" fontId="60" fillId="0" borderId="0" xfId="144" applyBorder="1" applyAlignment="1" applyProtection="1">
      <alignment horizontal="center" vertical="center"/>
    </xf>
    <xf numFmtId="0" fontId="60" fillId="0" borderId="17" xfId="144" applyBorder="1" applyAlignment="1" applyProtection="1">
      <alignment horizontal="center" vertical="center"/>
    </xf>
    <xf numFmtId="0" fontId="60" fillId="0" borderId="18" xfId="144" applyBorder="1" applyAlignment="1" applyProtection="1">
      <alignment horizontal="center" vertical="center"/>
    </xf>
    <xf numFmtId="0" fontId="60" fillId="0" borderId="19" xfId="144" applyBorder="1" applyAlignment="1" applyProtection="1">
      <alignment horizontal="center" vertical="center"/>
    </xf>
    <xf numFmtId="0" fontId="60" fillId="0" borderId="20" xfId="144" applyBorder="1" applyAlignment="1" applyProtection="1">
      <alignment horizontal="center" vertical="center"/>
    </xf>
    <xf numFmtId="0" fontId="47" fillId="3" borderId="27" xfId="110" applyFont="1" applyFill="1" applyBorder="1" applyAlignment="1" applyProtection="1">
      <alignment horizontal="center" vertical="center"/>
      <protection locked="0"/>
    </xf>
    <xf numFmtId="0" fontId="60" fillId="0" borderId="28" xfId="144" applyBorder="1"/>
    <xf numFmtId="0" fontId="60" fillId="0" borderId="29" xfId="144" applyBorder="1"/>
    <xf numFmtId="0" fontId="60" fillId="0" borderId="24" xfId="144" applyBorder="1"/>
    <xf numFmtId="0" fontId="60" fillId="0" borderId="0" xfId="144" applyBorder="1"/>
    <xf numFmtId="0" fontId="60" fillId="0" borderId="17" xfId="144" applyBorder="1"/>
    <xf numFmtId="0" fontId="48" fillId="0" borderId="27" xfId="110" applyFont="1" applyFill="1" applyBorder="1" applyAlignment="1" applyProtection="1">
      <alignment horizontal="center" vertical="center"/>
    </xf>
    <xf numFmtId="0" fontId="48" fillId="0" borderId="29" xfId="110" applyFont="1" applyFill="1" applyBorder="1" applyAlignment="1" applyProtection="1">
      <alignment horizontal="center" vertical="center"/>
    </xf>
    <xf numFmtId="0" fontId="48" fillId="0" borderId="24" xfId="110" applyFont="1" applyFill="1" applyBorder="1" applyAlignment="1" applyProtection="1">
      <alignment horizontal="center" vertical="center"/>
    </xf>
    <xf numFmtId="0" fontId="48" fillId="0" borderId="17" xfId="110" applyFont="1" applyFill="1" applyBorder="1" applyAlignment="1" applyProtection="1">
      <alignment horizontal="center" vertical="center"/>
    </xf>
    <xf numFmtId="0" fontId="48" fillId="0" borderId="18" xfId="110" applyFont="1" applyFill="1" applyBorder="1" applyAlignment="1" applyProtection="1">
      <alignment horizontal="center" vertical="center"/>
    </xf>
    <xf numFmtId="0" fontId="48" fillId="0" borderId="20" xfId="110" applyFont="1" applyFill="1" applyBorder="1" applyAlignment="1" applyProtection="1">
      <alignment horizontal="center" vertical="center"/>
    </xf>
    <xf numFmtId="0" fontId="69" fillId="0" borderId="22" xfId="144" applyFont="1" applyBorder="1" applyAlignment="1" applyProtection="1">
      <alignment horizontal="center" vertical="center"/>
    </xf>
    <xf numFmtId="0" fontId="69" fillId="0" borderId="6" xfId="144" applyFont="1" applyBorder="1" applyAlignment="1" applyProtection="1">
      <alignment horizontal="center" vertical="center"/>
    </xf>
    <xf numFmtId="0" fontId="69" fillId="0" borderId="16" xfId="144" applyFont="1" applyBorder="1" applyAlignment="1" applyProtection="1">
      <alignment horizontal="center" vertical="center"/>
    </xf>
    <xf numFmtId="0" fontId="69" fillId="0" borderId="24" xfId="144" applyFont="1" applyBorder="1" applyAlignment="1" applyProtection="1">
      <alignment horizontal="center" vertical="center"/>
    </xf>
    <xf numFmtId="0" fontId="69" fillId="0" borderId="0" xfId="144" applyFont="1" applyBorder="1" applyAlignment="1" applyProtection="1">
      <alignment horizontal="center" vertical="center"/>
    </xf>
    <xf numFmtId="0" fontId="69" fillId="0" borderId="17" xfId="144" applyFont="1" applyBorder="1" applyAlignment="1" applyProtection="1">
      <alignment horizontal="center" vertical="center"/>
    </xf>
    <xf numFmtId="0" fontId="69" fillId="0" borderId="18" xfId="144" applyFont="1" applyBorder="1" applyAlignment="1" applyProtection="1">
      <alignment horizontal="center" vertical="center"/>
    </xf>
    <xf numFmtId="0" fontId="69" fillId="0" borderId="19" xfId="144" applyFont="1" applyBorder="1" applyAlignment="1" applyProtection="1">
      <alignment horizontal="center" vertical="center"/>
    </xf>
    <xf numFmtId="0" fontId="69" fillId="0" borderId="20" xfId="144" applyFont="1" applyBorder="1" applyAlignment="1" applyProtection="1">
      <alignment horizontal="center" vertical="center"/>
    </xf>
    <xf numFmtId="0" fontId="4" fillId="0" borderId="60" xfId="144" applyFont="1" applyBorder="1" applyAlignment="1" applyProtection="1">
      <alignment horizontal="left" vertical="center"/>
    </xf>
    <xf numFmtId="0" fontId="4" fillId="0" borderId="11" xfId="144" applyFont="1" applyBorder="1" applyAlignment="1" applyProtection="1">
      <alignment horizontal="left" vertical="center"/>
    </xf>
    <xf numFmtId="0" fontId="4" fillId="0" borderId="25" xfId="144" applyFont="1" applyBorder="1" applyAlignment="1" applyProtection="1">
      <alignment horizontal="left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6" fillId="0" borderId="14" xfId="110" applyFont="1" applyFill="1" applyBorder="1" applyAlignment="1" applyProtection="1">
      <alignment vertical="center"/>
    </xf>
    <xf numFmtId="0" fontId="6" fillId="0" borderId="13" xfId="110" applyFont="1" applyFill="1" applyBorder="1" applyAlignment="1" applyProtection="1">
      <alignment vertical="center"/>
    </xf>
    <xf numFmtId="0" fontId="6" fillId="0" borderId="15" xfId="110" applyFont="1" applyFill="1" applyBorder="1" applyAlignment="1" applyProtection="1">
      <alignment vertical="center"/>
    </xf>
    <xf numFmtId="0" fontId="54" fillId="0" borderId="3" xfId="136" applyFont="1" applyBorder="1" applyAlignment="1"/>
    <xf numFmtId="0" fontId="54" fillId="0" borderId="4" xfId="136" applyFont="1" applyBorder="1" applyAlignment="1"/>
    <xf numFmtId="0" fontId="54" fillId="0" borderId="23" xfId="136" applyFont="1" applyBorder="1" applyAlignment="1"/>
    <xf numFmtId="0" fontId="6" fillId="0" borderId="3" xfId="110" applyFont="1" applyFill="1" applyBorder="1" applyAlignment="1" applyProtection="1">
      <alignment vertical="center"/>
    </xf>
    <xf numFmtId="0" fontId="6" fillId="0" borderId="4" xfId="110" applyFont="1" applyFill="1" applyBorder="1" applyAlignment="1" applyProtection="1">
      <alignment vertical="center"/>
    </xf>
    <xf numFmtId="0" fontId="6" fillId="0" borderId="23" xfId="110" applyFont="1" applyFill="1" applyBorder="1" applyAlignment="1" applyProtection="1">
      <alignment vertical="center"/>
    </xf>
    <xf numFmtId="0" fontId="49" fillId="0" borderId="24" xfId="110" applyFont="1" applyFill="1" applyBorder="1" applyAlignment="1" applyProtection="1">
      <alignment horizontal="center" vertical="center"/>
    </xf>
    <xf numFmtId="0" fontId="64" fillId="0" borderId="0" xfId="144" applyFont="1" applyBorder="1"/>
    <xf numFmtId="0" fontId="64" fillId="0" borderId="17" xfId="144" applyFont="1" applyBorder="1"/>
    <xf numFmtId="0" fontId="64" fillId="0" borderId="24" xfId="144" applyFont="1" applyBorder="1"/>
    <xf numFmtId="0" fontId="64" fillId="0" borderId="18" xfId="144" applyFont="1" applyBorder="1"/>
    <xf numFmtId="0" fontId="64" fillId="0" borderId="19" xfId="144" applyFont="1" applyBorder="1"/>
    <xf numFmtId="0" fontId="64" fillId="0" borderId="20" xfId="144" applyFont="1" applyBorder="1"/>
    <xf numFmtId="0" fontId="6" fillId="0" borderId="3" xfId="144" applyFont="1" applyBorder="1" applyAlignment="1" applyProtection="1">
      <alignment vertical="center"/>
    </xf>
    <xf numFmtId="0" fontId="6" fillId="0" borderId="4" xfId="144" applyFont="1" applyBorder="1" applyAlignment="1" applyProtection="1">
      <alignment vertical="center"/>
    </xf>
    <xf numFmtId="0" fontId="6" fillId="0" borderId="23" xfId="144" applyFont="1" applyBorder="1" applyAlignment="1" applyProtection="1">
      <alignment vertical="center"/>
    </xf>
    <xf numFmtId="0" fontId="6" fillId="0" borderId="10" xfId="110" applyFont="1" applyFill="1" applyBorder="1" applyAlignment="1" applyProtection="1">
      <alignment vertical="center"/>
    </xf>
    <xf numFmtId="0" fontId="6" fillId="0" borderId="11" xfId="110" applyFont="1" applyFill="1" applyBorder="1" applyAlignment="1" applyProtection="1">
      <alignment vertical="center"/>
    </xf>
    <xf numFmtId="0" fontId="6" fillId="0" borderId="25" xfId="110" applyFont="1" applyFill="1" applyBorder="1" applyAlignment="1" applyProtection="1">
      <alignment vertical="center"/>
    </xf>
  </cellXfs>
  <cellStyles count="145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1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19050</xdr:rowOff>
    </xdr:from>
    <xdr:to>
      <xdr:col>2</xdr:col>
      <xdr:colOff>419100</xdr:colOff>
      <xdr:row>0</xdr:row>
      <xdr:rowOff>514350</xdr:rowOff>
    </xdr:to>
    <xdr:pic>
      <xdr:nvPicPr>
        <xdr:cNvPr id="2" name="Picture 33">
          <a:extLst>
            <a:ext uri="{FF2B5EF4-FFF2-40B4-BE49-F238E27FC236}">
              <a16:creationId xmlns:a16="http://schemas.microsoft.com/office/drawing/2014/main" id="{269427E7-724C-477C-AAC2-B5337DB501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065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2"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99" t="s">
        <v>523</v>
      </c>
      <c r="C1" s="2" t="s">
        <v>91</v>
      </c>
      <c r="D1" s="1" t="s">
        <v>25</v>
      </c>
    </row>
    <row r="2" spans="1:4" s="1" customFormat="1">
      <c r="A2" s="2">
        <v>2</v>
      </c>
      <c r="B2" s="99" t="s">
        <v>524</v>
      </c>
      <c r="C2" s="2" t="s">
        <v>1</v>
      </c>
    </row>
    <row r="3" spans="1:4" s="1" customFormat="1">
      <c r="A3" s="2">
        <v>3</v>
      </c>
      <c r="B3" s="1" t="s">
        <v>525</v>
      </c>
      <c r="C3" s="2" t="s">
        <v>415</v>
      </c>
    </row>
    <row r="4" spans="1:4" s="1" customFormat="1">
      <c r="A4" s="2">
        <v>4</v>
      </c>
      <c r="B4" s="1" t="s">
        <v>526</v>
      </c>
      <c r="C4" s="2" t="s">
        <v>416</v>
      </c>
    </row>
    <row r="5" spans="1:4" s="1" customFormat="1">
      <c r="A5" s="2">
        <v>5</v>
      </c>
      <c r="B5" s="1">
        <v>9100</v>
      </c>
      <c r="C5" s="2" t="s">
        <v>417</v>
      </c>
    </row>
    <row r="6" spans="1:4" s="1" customFormat="1">
      <c r="A6" s="2">
        <v>6</v>
      </c>
      <c r="B6" s="1" t="s">
        <v>527</v>
      </c>
      <c r="C6" s="2" t="s">
        <v>418</v>
      </c>
    </row>
    <row r="7" spans="1:4" s="1" customFormat="1">
      <c r="A7" s="2">
        <v>7</v>
      </c>
      <c r="B7" s="1" t="s">
        <v>528</v>
      </c>
      <c r="C7" s="2" t="s">
        <v>3</v>
      </c>
    </row>
    <row r="8" spans="1:4" s="1" customFormat="1">
      <c r="A8" s="2">
        <v>8</v>
      </c>
      <c r="B8" s="1" t="s">
        <v>529</v>
      </c>
      <c r="C8" s="2" t="s">
        <v>4</v>
      </c>
    </row>
    <row r="9" spans="1:4" s="1" customFormat="1">
      <c r="A9" s="2">
        <v>9</v>
      </c>
      <c r="B9" s="1">
        <v>2170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419</v>
      </c>
    </row>
    <row r="11" spans="1:4" s="1" customFormat="1">
      <c r="A11" s="2">
        <v>11</v>
      </c>
      <c r="B11" s="149" t="s">
        <v>530</v>
      </c>
      <c r="C11" s="2" t="s">
        <v>6</v>
      </c>
    </row>
    <row r="12" spans="1:4" s="1" customFormat="1">
      <c r="A12" s="2">
        <v>12</v>
      </c>
      <c r="B12" s="1">
        <v>25.3</v>
      </c>
      <c r="C12" s="2" t="s">
        <v>7</v>
      </c>
    </row>
    <row r="13" spans="1:4" s="1" customFormat="1">
      <c r="A13" s="2">
        <v>13</v>
      </c>
      <c r="B13" s="1">
        <v>61</v>
      </c>
      <c r="C13" s="2" t="s">
        <v>420</v>
      </c>
    </row>
    <row r="14" spans="1:4" s="1" customFormat="1">
      <c r="A14" s="2">
        <v>14</v>
      </c>
      <c r="B14" s="1" t="s">
        <v>531</v>
      </c>
      <c r="C14" s="2" t="s">
        <v>0</v>
      </c>
    </row>
    <row r="15" spans="1:4" s="1" customFormat="1">
      <c r="A15" s="2">
        <v>15</v>
      </c>
      <c r="B15" s="1" t="s">
        <v>532</v>
      </c>
      <c r="C15" s="2" t="s">
        <v>421</v>
      </c>
    </row>
    <row r="16" spans="1:4" s="1" customFormat="1">
      <c r="A16" s="2">
        <v>16</v>
      </c>
      <c r="B16" s="1" t="s">
        <v>533</v>
      </c>
      <c r="C16" s="2" t="s">
        <v>422</v>
      </c>
    </row>
    <row r="17" spans="1:4" s="1" customFormat="1">
      <c r="A17" s="2">
        <v>17</v>
      </c>
      <c r="B17" s="1" t="s">
        <v>534</v>
      </c>
      <c r="C17" s="2" t="s">
        <v>423</v>
      </c>
    </row>
    <row r="18" spans="1:4" s="1" customFormat="1">
      <c r="A18" s="2">
        <v>18</v>
      </c>
      <c r="B18" s="1" t="s">
        <v>560</v>
      </c>
      <c r="C18" s="2" t="s">
        <v>424</v>
      </c>
    </row>
    <row r="19" spans="1:4" s="1" customFormat="1">
      <c r="A19" s="2">
        <v>19</v>
      </c>
      <c r="B19" s="1" t="s">
        <v>561</v>
      </c>
      <c r="C19" s="2" t="s">
        <v>510</v>
      </c>
    </row>
    <row r="20" spans="1:4" s="1" customFormat="1" ht="14.25" thickBot="1">
      <c r="A20" s="2">
        <v>20</v>
      </c>
      <c r="B20" s="1" t="s">
        <v>535</v>
      </c>
      <c r="C20" s="2" t="s">
        <v>27</v>
      </c>
    </row>
    <row r="21" spans="1:4" s="35" customFormat="1">
      <c r="A21" s="3">
        <v>21</v>
      </c>
      <c r="B21" s="37" t="s">
        <v>536</v>
      </c>
      <c r="C21" s="37" t="s">
        <v>99</v>
      </c>
      <c r="D21" s="35" t="s">
        <v>98</v>
      </c>
    </row>
    <row r="22" spans="1:4" s="35" customFormat="1">
      <c r="A22" s="3">
        <v>22</v>
      </c>
      <c r="B22" s="34" t="s">
        <v>537</v>
      </c>
      <c r="C22" s="34" t="s">
        <v>100</v>
      </c>
      <c r="D22" s="35">
        <v>1</v>
      </c>
    </row>
    <row r="23" spans="1:4" s="35" customFormat="1">
      <c r="A23" s="3">
        <v>23</v>
      </c>
      <c r="B23" s="34" t="s">
        <v>383</v>
      </c>
      <c r="C23" s="34" t="s">
        <v>103</v>
      </c>
    </row>
    <row r="24" spans="1:4" s="35" customFormat="1">
      <c r="A24" s="3">
        <v>24</v>
      </c>
      <c r="B24" s="34" t="s">
        <v>383</v>
      </c>
      <c r="C24" s="34" t="s">
        <v>104</v>
      </c>
    </row>
    <row r="25" spans="1:4" s="35" customFormat="1">
      <c r="A25" s="3">
        <v>25</v>
      </c>
      <c r="B25" s="34" t="s">
        <v>383</v>
      </c>
      <c r="C25" s="34" t="s">
        <v>102</v>
      </c>
    </row>
    <row r="26" spans="1:4" s="35" customFormat="1">
      <c r="A26" s="3">
        <v>26</v>
      </c>
      <c r="B26" s="34">
        <v>100</v>
      </c>
      <c r="C26" s="34" t="s">
        <v>101</v>
      </c>
    </row>
    <row r="27" spans="1:4" s="35" customFormat="1">
      <c r="A27" s="3">
        <v>27</v>
      </c>
      <c r="B27" s="34" t="s">
        <v>538</v>
      </c>
      <c r="C27" s="34" t="s">
        <v>105</v>
      </c>
    </row>
    <row r="28" spans="1:4" s="35" customFormat="1">
      <c r="A28" s="3">
        <v>28</v>
      </c>
      <c r="B28" s="34" t="s">
        <v>539</v>
      </c>
      <c r="C28" s="34" t="s">
        <v>110</v>
      </c>
    </row>
    <row r="29" spans="1:4" s="35" customFormat="1">
      <c r="A29" s="3">
        <v>29</v>
      </c>
      <c r="B29" s="34" t="s">
        <v>70</v>
      </c>
      <c r="C29" s="34" t="s">
        <v>69</v>
      </c>
    </row>
    <row r="30" spans="1:4" s="35" customFormat="1" ht="14.25" thickBot="1">
      <c r="A30" s="3">
        <v>30</v>
      </c>
      <c r="B30" s="36"/>
      <c r="C30" s="36" t="s">
        <v>26</v>
      </c>
    </row>
    <row r="31" spans="1:4" s="35" customFormat="1">
      <c r="A31" s="3">
        <v>31</v>
      </c>
      <c r="B31" s="34" t="s">
        <v>540</v>
      </c>
      <c r="C31" s="37" t="s">
        <v>99</v>
      </c>
      <c r="D31" s="35" t="s">
        <v>98</v>
      </c>
    </row>
    <row r="32" spans="1:4" s="35" customFormat="1">
      <c r="A32" s="3">
        <v>32</v>
      </c>
      <c r="B32" s="51">
        <v>1500</v>
      </c>
      <c r="C32" s="34" t="s">
        <v>100</v>
      </c>
      <c r="D32" s="35">
        <v>2</v>
      </c>
    </row>
    <row r="33" spans="1:4" s="35" customFormat="1">
      <c r="A33" s="3">
        <v>33</v>
      </c>
      <c r="B33" s="51">
        <v>0.2</v>
      </c>
      <c r="C33" s="34" t="s">
        <v>103</v>
      </c>
    </row>
    <row r="34" spans="1:4" s="35" customFormat="1">
      <c r="A34" s="3">
        <v>34</v>
      </c>
      <c r="B34" s="51">
        <v>0.2</v>
      </c>
      <c r="C34" s="34" t="s">
        <v>104</v>
      </c>
    </row>
    <row r="35" spans="1:4" s="35" customFormat="1">
      <c r="A35" s="3">
        <v>35</v>
      </c>
      <c r="B35" s="34">
        <v>1800</v>
      </c>
      <c r="C35" s="34" t="s">
        <v>102</v>
      </c>
    </row>
    <row r="36" spans="1:4" s="35" customFormat="1">
      <c r="A36" s="3">
        <v>36</v>
      </c>
      <c r="B36" s="34">
        <v>1200</v>
      </c>
      <c r="C36" s="34" t="s">
        <v>101</v>
      </c>
    </row>
    <row r="37" spans="1:4" s="35" customFormat="1">
      <c r="A37" s="3">
        <v>37</v>
      </c>
      <c r="B37" s="34" t="s">
        <v>538</v>
      </c>
      <c r="C37" s="34" t="s">
        <v>105</v>
      </c>
    </row>
    <row r="38" spans="1:4" s="35" customFormat="1">
      <c r="A38" s="3">
        <v>38</v>
      </c>
      <c r="B38" s="34" t="s">
        <v>539</v>
      </c>
      <c r="C38" s="34" t="s">
        <v>110</v>
      </c>
    </row>
    <row r="39" spans="1:4" s="35" customFormat="1">
      <c r="A39" s="3">
        <v>39</v>
      </c>
      <c r="B39" s="34" t="s">
        <v>70</v>
      </c>
      <c r="C39" s="34" t="s">
        <v>69</v>
      </c>
    </row>
    <row r="40" spans="1:4" s="35" customFormat="1" ht="14.25" thickBot="1">
      <c r="A40" s="3">
        <v>40</v>
      </c>
      <c r="B40" s="36"/>
      <c r="C40" s="36" t="s">
        <v>26</v>
      </c>
    </row>
    <row r="41" spans="1:4" s="35" customFormat="1">
      <c r="A41" s="3">
        <v>41</v>
      </c>
      <c r="B41" s="34" t="s">
        <v>541</v>
      </c>
      <c r="C41" s="37" t="s">
        <v>99</v>
      </c>
      <c r="D41" s="35" t="s">
        <v>98</v>
      </c>
    </row>
    <row r="42" spans="1:4" s="35" customFormat="1">
      <c r="A42" s="3">
        <v>42</v>
      </c>
      <c r="B42" s="34">
        <v>48</v>
      </c>
      <c r="C42" s="34" t="s">
        <v>100</v>
      </c>
      <c r="D42" s="35">
        <v>3</v>
      </c>
    </row>
    <row r="43" spans="1:4" s="35" customFormat="1">
      <c r="A43" s="3">
        <v>43</v>
      </c>
      <c r="B43" s="34">
        <v>2</v>
      </c>
      <c r="C43" s="34" t="s">
        <v>103</v>
      </c>
    </row>
    <row r="44" spans="1:4" s="35" customFormat="1">
      <c r="A44" s="3">
        <v>44</v>
      </c>
      <c r="B44" s="34">
        <v>2</v>
      </c>
      <c r="C44" s="34" t="s">
        <v>104</v>
      </c>
    </row>
    <row r="45" spans="1:4" s="35" customFormat="1">
      <c r="A45" s="3">
        <v>45</v>
      </c>
      <c r="B45" s="34">
        <v>50</v>
      </c>
      <c r="C45" s="34" t="s">
        <v>102</v>
      </c>
    </row>
    <row r="46" spans="1:4" s="35" customFormat="1">
      <c r="A46" s="3">
        <v>46</v>
      </c>
      <c r="B46" s="34">
        <v>46</v>
      </c>
      <c r="C46" s="34" t="s">
        <v>101</v>
      </c>
    </row>
    <row r="47" spans="1:4" s="35" customFormat="1">
      <c r="A47" s="3">
        <v>47</v>
      </c>
      <c r="B47" s="34" t="s">
        <v>538</v>
      </c>
      <c r="C47" s="34" t="s">
        <v>105</v>
      </c>
    </row>
    <row r="48" spans="1:4" s="35" customFormat="1">
      <c r="A48" s="3">
        <v>48</v>
      </c>
      <c r="B48" s="34" t="s">
        <v>539</v>
      </c>
      <c r="C48" s="34" t="s">
        <v>110</v>
      </c>
    </row>
    <row r="49" spans="1:4" s="35" customFormat="1">
      <c r="A49" s="3">
        <v>49</v>
      </c>
      <c r="B49" s="34" t="s">
        <v>70</v>
      </c>
      <c r="C49" s="34" t="s">
        <v>69</v>
      </c>
    </row>
    <row r="50" spans="1:4" s="35" customFormat="1" ht="14.25" thickBot="1">
      <c r="A50" s="3">
        <v>50</v>
      </c>
      <c r="B50" s="36"/>
      <c r="C50" s="36" t="s">
        <v>26</v>
      </c>
    </row>
    <row r="51" spans="1:4" s="35" customFormat="1">
      <c r="A51" s="3">
        <v>51</v>
      </c>
      <c r="B51" s="34" t="s">
        <v>542</v>
      </c>
      <c r="C51" s="37" t="s">
        <v>99</v>
      </c>
      <c r="D51" s="35" t="s">
        <v>98</v>
      </c>
    </row>
    <row r="52" spans="1:4" s="35" customFormat="1">
      <c r="A52" s="3">
        <v>52</v>
      </c>
      <c r="B52" s="34" t="s">
        <v>543</v>
      </c>
      <c r="C52" s="34" t="s">
        <v>100</v>
      </c>
      <c r="D52" s="35">
        <v>4</v>
      </c>
    </row>
    <row r="53" spans="1:4" s="35" customFormat="1">
      <c r="A53" s="3">
        <v>53</v>
      </c>
      <c r="B53" s="34" t="s">
        <v>383</v>
      </c>
      <c r="C53" s="34" t="s">
        <v>103</v>
      </c>
    </row>
    <row r="54" spans="1:4" s="35" customFormat="1">
      <c r="A54" s="3">
        <v>54</v>
      </c>
      <c r="B54" s="34" t="s">
        <v>383</v>
      </c>
      <c r="C54" s="34" t="s">
        <v>104</v>
      </c>
    </row>
    <row r="55" spans="1:4" s="35" customFormat="1">
      <c r="A55" s="3">
        <v>55</v>
      </c>
      <c r="B55" s="34">
        <v>2.2000000000000002</v>
      </c>
      <c r="C55" s="34" t="s">
        <v>102</v>
      </c>
    </row>
    <row r="56" spans="1:4" s="35" customFormat="1">
      <c r="A56" s="3">
        <v>56</v>
      </c>
      <c r="B56" s="34" t="s">
        <v>383</v>
      </c>
      <c r="C56" s="34" t="s">
        <v>101</v>
      </c>
    </row>
    <row r="57" spans="1:4" s="35" customFormat="1">
      <c r="A57" s="3">
        <v>57</v>
      </c>
      <c r="B57" s="34" t="s">
        <v>538</v>
      </c>
      <c r="C57" s="34" t="s">
        <v>105</v>
      </c>
    </row>
    <row r="58" spans="1:4" s="35" customFormat="1">
      <c r="A58" s="3">
        <v>58</v>
      </c>
      <c r="B58" s="34" t="s">
        <v>539</v>
      </c>
      <c r="C58" s="34" t="s">
        <v>110</v>
      </c>
    </row>
    <row r="59" spans="1:4" s="35" customFormat="1">
      <c r="A59" s="3">
        <v>59</v>
      </c>
      <c r="B59" s="34" t="s">
        <v>93</v>
      </c>
      <c r="C59" s="34" t="s">
        <v>69</v>
      </c>
    </row>
    <row r="60" spans="1:4" s="35" customFormat="1" ht="14.25" thickBot="1">
      <c r="A60" s="3">
        <v>60</v>
      </c>
      <c r="B60" s="36"/>
      <c r="C60" s="36" t="s">
        <v>26</v>
      </c>
    </row>
    <row r="61" spans="1:4" s="35" customFormat="1">
      <c r="A61" s="3">
        <v>61</v>
      </c>
      <c r="B61" s="34" t="s">
        <v>544</v>
      </c>
      <c r="C61" s="37" t="s">
        <v>99</v>
      </c>
      <c r="D61" s="35" t="s">
        <v>98</v>
      </c>
    </row>
    <row r="62" spans="1:4" s="35" customFormat="1">
      <c r="A62" s="3">
        <v>62</v>
      </c>
      <c r="B62" s="34" t="s">
        <v>383</v>
      </c>
      <c r="C62" s="34" t="s">
        <v>100</v>
      </c>
      <c r="D62" s="35">
        <v>5</v>
      </c>
    </row>
    <row r="63" spans="1:4" s="35" customFormat="1">
      <c r="A63" s="3">
        <v>63</v>
      </c>
      <c r="B63" s="34" t="s">
        <v>383</v>
      </c>
      <c r="C63" s="34" t="s">
        <v>103</v>
      </c>
    </row>
    <row r="64" spans="1:4" s="35" customFormat="1">
      <c r="A64" s="3">
        <v>64</v>
      </c>
      <c r="B64" s="34" t="s">
        <v>383</v>
      </c>
      <c r="C64" s="34" t="s">
        <v>104</v>
      </c>
    </row>
    <row r="65" spans="1:4" s="35" customFormat="1">
      <c r="A65" s="3">
        <v>65</v>
      </c>
      <c r="B65" s="34">
        <v>1000</v>
      </c>
      <c r="C65" s="34" t="s">
        <v>102</v>
      </c>
    </row>
    <row r="66" spans="1:4" s="35" customFormat="1">
      <c r="A66" s="3">
        <v>66</v>
      </c>
      <c r="B66" s="34">
        <v>480</v>
      </c>
      <c r="C66" s="34" t="s">
        <v>101</v>
      </c>
    </row>
    <row r="67" spans="1:4" s="35" customFormat="1">
      <c r="A67" s="3">
        <v>67</v>
      </c>
      <c r="B67" s="34" t="s">
        <v>538</v>
      </c>
      <c r="C67" s="34" t="s">
        <v>105</v>
      </c>
    </row>
    <row r="68" spans="1:4" s="35" customFormat="1">
      <c r="A68" s="3">
        <v>68</v>
      </c>
      <c r="B68" s="34" t="s">
        <v>539</v>
      </c>
      <c r="C68" s="34" t="s">
        <v>110</v>
      </c>
    </row>
    <row r="69" spans="1:4" s="35" customFormat="1">
      <c r="A69" s="3">
        <v>69</v>
      </c>
      <c r="B69" s="34" t="s">
        <v>93</v>
      </c>
      <c r="C69" s="34" t="s">
        <v>69</v>
      </c>
    </row>
    <row r="70" spans="1:4" s="35" customFormat="1" ht="14.25" thickBot="1">
      <c r="A70" s="3">
        <v>70</v>
      </c>
      <c r="B70" s="36"/>
      <c r="C70" s="36" t="s">
        <v>26</v>
      </c>
    </row>
    <row r="71" spans="1:4" s="35" customFormat="1">
      <c r="A71" s="3">
        <v>71</v>
      </c>
      <c r="B71" s="34"/>
      <c r="C71" s="37" t="s">
        <v>99</v>
      </c>
      <c r="D71" s="35" t="s">
        <v>98</v>
      </c>
    </row>
    <row r="72" spans="1:4" s="35" customFormat="1">
      <c r="A72" s="3">
        <v>72</v>
      </c>
      <c r="B72" s="34"/>
      <c r="C72" s="34" t="s">
        <v>100</v>
      </c>
      <c r="D72" s="35">
        <v>6</v>
      </c>
    </row>
    <row r="73" spans="1:4" s="35" customFormat="1">
      <c r="A73" s="3">
        <v>73</v>
      </c>
      <c r="B73" s="34"/>
      <c r="C73" s="34" t="s">
        <v>103</v>
      </c>
    </row>
    <row r="74" spans="1:4" s="35" customFormat="1">
      <c r="A74" s="3">
        <v>74</v>
      </c>
      <c r="B74" s="34"/>
      <c r="C74" s="34" t="s">
        <v>104</v>
      </c>
    </row>
    <row r="75" spans="1:4" s="35" customFormat="1">
      <c r="A75" s="3">
        <v>75</v>
      </c>
      <c r="B75" s="34"/>
      <c r="C75" s="34" t="s">
        <v>102</v>
      </c>
    </row>
    <row r="76" spans="1:4" s="35" customFormat="1">
      <c r="A76" s="3">
        <v>76</v>
      </c>
      <c r="B76" s="34"/>
      <c r="C76" s="34" t="s">
        <v>101</v>
      </c>
    </row>
    <row r="77" spans="1:4" s="35" customFormat="1">
      <c r="A77" s="3">
        <v>77</v>
      </c>
      <c r="B77" s="34"/>
      <c r="C77" s="34" t="s">
        <v>105</v>
      </c>
    </row>
    <row r="78" spans="1:4" s="35" customFormat="1">
      <c r="A78" s="3">
        <v>78</v>
      </c>
      <c r="B78" s="34"/>
      <c r="C78" s="34" t="s">
        <v>110</v>
      </c>
    </row>
    <row r="79" spans="1:4" s="35" customFormat="1">
      <c r="A79" s="3">
        <v>79</v>
      </c>
      <c r="B79" s="34"/>
      <c r="C79" s="34" t="s">
        <v>69</v>
      </c>
    </row>
    <row r="80" spans="1:4" s="35" customFormat="1" ht="14.25" thickBot="1">
      <c r="A80" s="3">
        <v>80</v>
      </c>
      <c r="B80" s="36"/>
      <c r="C80" s="36" t="s">
        <v>26</v>
      </c>
    </row>
    <row r="81" spans="1:4" s="35" customFormat="1">
      <c r="A81" s="3">
        <v>81</v>
      </c>
      <c r="B81" s="34"/>
      <c r="C81" s="37" t="s">
        <v>99</v>
      </c>
      <c r="D81" s="35" t="s">
        <v>98</v>
      </c>
    </row>
    <row r="82" spans="1:4" s="35" customFormat="1">
      <c r="A82" s="3">
        <v>82</v>
      </c>
      <c r="B82" s="34"/>
      <c r="C82" s="34" t="s">
        <v>100</v>
      </c>
      <c r="D82" s="35">
        <v>7</v>
      </c>
    </row>
    <row r="83" spans="1:4" s="35" customFormat="1">
      <c r="A83" s="3">
        <v>83</v>
      </c>
      <c r="B83" s="34"/>
      <c r="C83" s="34" t="s">
        <v>103</v>
      </c>
    </row>
    <row r="84" spans="1:4" s="35" customFormat="1">
      <c r="A84" s="3">
        <v>84</v>
      </c>
      <c r="B84" s="34"/>
      <c r="C84" s="34" t="s">
        <v>104</v>
      </c>
    </row>
    <row r="85" spans="1:4" s="35" customFormat="1">
      <c r="A85" s="3">
        <v>85</v>
      </c>
      <c r="B85" s="34"/>
      <c r="C85" s="34" t="s">
        <v>102</v>
      </c>
    </row>
    <row r="86" spans="1:4" s="35" customFormat="1">
      <c r="A86" s="3">
        <v>86</v>
      </c>
      <c r="B86" s="34"/>
      <c r="C86" s="34" t="s">
        <v>101</v>
      </c>
    </row>
    <row r="87" spans="1:4" s="35" customFormat="1">
      <c r="A87" s="3">
        <v>87</v>
      </c>
      <c r="B87" s="34"/>
      <c r="C87" s="34" t="s">
        <v>105</v>
      </c>
    </row>
    <row r="88" spans="1:4" s="35" customFormat="1">
      <c r="A88" s="3">
        <v>88</v>
      </c>
      <c r="B88" s="34"/>
      <c r="C88" s="34" t="s">
        <v>110</v>
      </c>
    </row>
    <row r="89" spans="1:4" s="35" customFormat="1">
      <c r="A89" s="3">
        <v>89</v>
      </c>
      <c r="B89" s="34"/>
      <c r="C89" s="34" t="s">
        <v>69</v>
      </c>
    </row>
    <row r="90" spans="1:4" s="35" customFormat="1" ht="14.25" thickBot="1">
      <c r="A90" s="3">
        <v>90</v>
      </c>
      <c r="B90" s="36"/>
      <c r="C90" s="36" t="s">
        <v>26</v>
      </c>
    </row>
    <row r="91" spans="1:4" s="35" customFormat="1">
      <c r="A91" s="3">
        <v>91</v>
      </c>
      <c r="B91" s="34"/>
      <c r="C91" s="37" t="s">
        <v>99</v>
      </c>
      <c r="D91" s="35" t="s">
        <v>98</v>
      </c>
    </row>
    <row r="92" spans="1:4" s="35" customFormat="1">
      <c r="A92" s="3">
        <v>92</v>
      </c>
      <c r="B92" s="34"/>
      <c r="C92" s="34" t="s">
        <v>100</v>
      </c>
      <c r="D92" s="35">
        <v>8</v>
      </c>
    </row>
    <row r="93" spans="1:4" s="35" customFormat="1">
      <c r="A93" s="3">
        <v>93</v>
      </c>
      <c r="B93" s="34"/>
      <c r="C93" s="34" t="s">
        <v>103</v>
      </c>
    </row>
    <row r="94" spans="1:4" s="35" customFormat="1">
      <c r="A94" s="3">
        <v>94</v>
      </c>
      <c r="B94" s="34"/>
      <c r="C94" s="34" t="s">
        <v>104</v>
      </c>
    </row>
    <row r="95" spans="1:4" s="35" customFormat="1">
      <c r="A95" s="3">
        <v>95</v>
      </c>
      <c r="B95" s="34"/>
      <c r="C95" s="34" t="s">
        <v>102</v>
      </c>
    </row>
    <row r="96" spans="1:4" s="35" customFormat="1">
      <c r="A96" s="3">
        <v>96</v>
      </c>
      <c r="B96" s="34"/>
      <c r="C96" s="34" t="s">
        <v>101</v>
      </c>
    </row>
    <row r="97" spans="1:4" s="35" customFormat="1">
      <c r="A97" s="3">
        <v>97</v>
      </c>
      <c r="B97" s="34"/>
      <c r="C97" s="34" t="s">
        <v>105</v>
      </c>
    </row>
    <row r="98" spans="1:4" s="35" customFormat="1">
      <c r="A98" s="3">
        <v>98</v>
      </c>
      <c r="B98" s="34"/>
      <c r="C98" s="34" t="s">
        <v>110</v>
      </c>
    </row>
    <row r="99" spans="1:4" s="35" customFormat="1">
      <c r="A99" s="3">
        <v>99</v>
      </c>
      <c r="B99" s="34"/>
      <c r="C99" s="34" t="s">
        <v>69</v>
      </c>
    </row>
    <row r="100" spans="1:4" s="35" customFormat="1" ht="14.25" thickBot="1">
      <c r="A100" s="3">
        <v>100</v>
      </c>
      <c r="B100" s="36"/>
      <c r="C100" s="36" t="s">
        <v>26</v>
      </c>
    </row>
    <row r="101" spans="1:4" s="35" customFormat="1">
      <c r="A101" s="3">
        <v>101</v>
      </c>
      <c r="B101" s="34"/>
      <c r="C101" s="37" t="s">
        <v>99</v>
      </c>
      <c r="D101" s="35" t="s">
        <v>98</v>
      </c>
    </row>
    <row r="102" spans="1:4" s="35" customFormat="1">
      <c r="A102" s="3">
        <v>102</v>
      </c>
      <c r="B102" s="34"/>
      <c r="C102" s="34" t="s">
        <v>100</v>
      </c>
      <c r="D102" s="35">
        <v>9</v>
      </c>
    </row>
    <row r="103" spans="1:4" s="35" customFormat="1">
      <c r="A103" s="3">
        <v>103</v>
      </c>
      <c r="B103" s="34"/>
      <c r="C103" s="34" t="s">
        <v>103</v>
      </c>
    </row>
    <row r="104" spans="1:4" s="35" customFormat="1">
      <c r="A104" s="3">
        <v>104</v>
      </c>
      <c r="B104" s="34"/>
      <c r="C104" s="34" t="s">
        <v>104</v>
      </c>
    </row>
    <row r="105" spans="1:4" s="35" customFormat="1">
      <c r="A105" s="3">
        <v>105</v>
      </c>
      <c r="B105" s="34"/>
      <c r="C105" s="34" t="s">
        <v>102</v>
      </c>
    </row>
    <row r="106" spans="1:4" s="35" customFormat="1">
      <c r="A106" s="3">
        <v>106</v>
      </c>
      <c r="B106" s="34"/>
      <c r="C106" s="34" t="s">
        <v>101</v>
      </c>
    </row>
    <row r="107" spans="1:4" s="35" customFormat="1">
      <c r="A107" s="3">
        <v>107</v>
      </c>
      <c r="B107" s="34"/>
      <c r="C107" s="34" t="s">
        <v>105</v>
      </c>
    </row>
    <row r="108" spans="1:4" s="35" customFormat="1">
      <c r="A108" s="3">
        <v>108</v>
      </c>
      <c r="B108" s="34"/>
      <c r="C108" s="34" t="s">
        <v>110</v>
      </c>
    </row>
    <row r="109" spans="1:4" s="35" customFormat="1">
      <c r="A109" s="3">
        <v>109</v>
      </c>
      <c r="B109" s="34"/>
      <c r="C109" s="34" t="s">
        <v>69</v>
      </c>
    </row>
    <row r="110" spans="1:4" s="35" customFormat="1" ht="14.25" thickBot="1">
      <c r="A110" s="3">
        <v>110</v>
      </c>
      <c r="B110" s="36"/>
      <c r="C110" s="36" t="s">
        <v>26</v>
      </c>
    </row>
    <row r="111" spans="1:4" s="35" customFormat="1">
      <c r="A111" s="3">
        <v>111</v>
      </c>
      <c r="B111" s="34"/>
      <c r="C111" s="37" t="s">
        <v>99</v>
      </c>
      <c r="D111" s="35" t="s">
        <v>98</v>
      </c>
    </row>
    <row r="112" spans="1:4" s="35" customFormat="1">
      <c r="A112" s="3">
        <v>112</v>
      </c>
      <c r="B112" s="34"/>
      <c r="C112" s="34" t="s">
        <v>100</v>
      </c>
      <c r="D112" s="35">
        <v>10</v>
      </c>
    </row>
    <row r="113" spans="1:4" s="35" customFormat="1">
      <c r="A113" s="3">
        <v>113</v>
      </c>
      <c r="B113" s="34"/>
      <c r="C113" s="34" t="s">
        <v>103</v>
      </c>
    </row>
    <row r="114" spans="1:4" s="35" customFormat="1">
      <c r="A114" s="3">
        <v>114</v>
      </c>
      <c r="B114" s="34"/>
      <c r="C114" s="34" t="s">
        <v>104</v>
      </c>
    </row>
    <row r="115" spans="1:4" s="35" customFormat="1">
      <c r="A115" s="3">
        <v>115</v>
      </c>
      <c r="B115" s="34"/>
      <c r="C115" s="34" t="s">
        <v>102</v>
      </c>
    </row>
    <row r="116" spans="1:4" s="35" customFormat="1">
      <c r="A116" s="3">
        <v>116</v>
      </c>
      <c r="B116" s="34"/>
      <c r="C116" s="34" t="s">
        <v>101</v>
      </c>
    </row>
    <row r="117" spans="1:4" s="35" customFormat="1">
      <c r="A117" s="3">
        <v>117</v>
      </c>
      <c r="B117" s="34"/>
      <c r="C117" s="34" t="s">
        <v>105</v>
      </c>
    </row>
    <row r="118" spans="1:4" s="35" customFormat="1">
      <c r="A118" s="3">
        <v>118</v>
      </c>
      <c r="B118" s="34"/>
      <c r="C118" s="34" t="s">
        <v>110</v>
      </c>
    </row>
    <row r="119" spans="1:4" s="35" customFormat="1">
      <c r="A119" s="3">
        <v>119</v>
      </c>
      <c r="B119" s="34"/>
      <c r="C119" s="34" t="s">
        <v>69</v>
      </c>
    </row>
    <row r="120" spans="1:4" s="35" customFormat="1" ht="14.25" thickBot="1">
      <c r="A120" s="3">
        <v>120</v>
      </c>
      <c r="B120" s="36"/>
      <c r="C120" s="36" t="s">
        <v>26</v>
      </c>
    </row>
    <row r="121" spans="1:4" s="35" customFormat="1">
      <c r="A121" s="3">
        <v>121</v>
      </c>
      <c r="B121" s="34"/>
      <c r="C121" s="37" t="s">
        <v>99</v>
      </c>
      <c r="D121" s="35" t="s">
        <v>98</v>
      </c>
    </row>
    <row r="122" spans="1:4" s="35" customFormat="1">
      <c r="A122" s="3">
        <v>122</v>
      </c>
      <c r="B122" s="34"/>
      <c r="C122" s="34" t="s">
        <v>100</v>
      </c>
      <c r="D122" s="35">
        <v>11</v>
      </c>
    </row>
    <row r="123" spans="1:4" s="35" customFormat="1">
      <c r="A123" s="3">
        <v>123</v>
      </c>
      <c r="B123" s="34"/>
      <c r="C123" s="34" t="s">
        <v>103</v>
      </c>
    </row>
    <row r="124" spans="1:4" s="35" customFormat="1">
      <c r="A124" s="3">
        <v>124</v>
      </c>
      <c r="B124" s="34"/>
      <c r="C124" s="34" t="s">
        <v>104</v>
      </c>
    </row>
    <row r="125" spans="1:4" s="35" customFormat="1">
      <c r="A125" s="3">
        <v>125</v>
      </c>
      <c r="B125" s="34"/>
      <c r="C125" s="34" t="s">
        <v>102</v>
      </c>
    </row>
    <row r="126" spans="1:4" s="35" customFormat="1">
      <c r="A126" s="3">
        <v>126</v>
      </c>
      <c r="B126" s="34"/>
      <c r="C126" s="34" t="s">
        <v>101</v>
      </c>
    </row>
    <row r="127" spans="1:4" s="35" customFormat="1">
      <c r="A127" s="3">
        <v>127</v>
      </c>
      <c r="B127" s="34"/>
      <c r="C127" s="34" t="s">
        <v>105</v>
      </c>
    </row>
    <row r="128" spans="1:4" s="35" customFormat="1">
      <c r="A128" s="3">
        <v>128</v>
      </c>
      <c r="B128" s="34"/>
      <c r="C128" s="34" t="s">
        <v>110</v>
      </c>
    </row>
    <row r="129" spans="1:4" s="35" customFormat="1">
      <c r="A129" s="3">
        <v>129</v>
      </c>
      <c r="B129" s="34"/>
      <c r="C129" s="34" t="s">
        <v>69</v>
      </c>
    </row>
    <row r="130" spans="1:4" s="35" customFormat="1" ht="14.25" thickBot="1">
      <c r="A130" s="3">
        <v>130</v>
      </c>
      <c r="B130" s="36"/>
      <c r="C130" s="36" t="s">
        <v>26</v>
      </c>
    </row>
    <row r="131" spans="1:4" s="35" customFormat="1">
      <c r="A131" s="3">
        <v>131</v>
      </c>
      <c r="B131" s="34"/>
      <c r="C131" s="37" t="s">
        <v>99</v>
      </c>
      <c r="D131" s="35" t="s">
        <v>98</v>
      </c>
    </row>
    <row r="132" spans="1:4" s="35" customFormat="1">
      <c r="A132" s="3">
        <v>132</v>
      </c>
      <c r="B132" s="34"/>
      <c r="C132" s="34" t="s">
        <v>100</v>
      </c>
      <c r="D132" s="35">
        <v>12</v>
      </c>
    </row>
    <row r="133" spans="1:4" s="35" customFormat="1">
      <c r="A133" s="3">
        <v>133</v>
      </c>
      <c r="B133" s="34"/>
      <c r="C133" s="34" t="s">
        <v>103</v>
      </c>
    </row>
    <row r="134" spans="1:4" s="35" customFormat="1">
      <c r="A134" s="3">
        <v>134</v>
      </c>
      <c r="B134" s="34"/>
      <c r="C134" s="34" t="s">
        <v>104</v>
      </c>
    </row>
    <row r="135" spans="1:4" s="35" customFormat="1">
      <c r="A135" s="3">
        <v>135</v>
      </c>
      <c r="B135" s="34"/>
      <c r="C135" s="34" t="s">
        <v>102</v>
      </c>
    </row>
    <row r="136" spans="1:4" s="35" customFormat="1">
      <c r="A136" s="3">
        <v>136</v>
      </c>
      <c r="B136" s="34"/>
      <c r="C136" s="34" t="s">
        <v>101</v>
      </c>
    </row>
    <row r="137" spans="1:4" s="35" customFormat="1">
      <c r="A137" s="3">
        <v>137</v>
      </c>
      <c r="B137" s="34"/>
      <c r="C137" s="34" t="s">
        <v>105</v>
      </c>
    </row>
    <row r="138" spans="1:4" s="35" customFormat="1">
      <c r="A138" s="3">
        <v>138</v>
      </c>
      <c r="B138" s="34"/>
      <c r="C138" s="34" t="s">
        <v>110</v>
      </c>
    </row>
    <row r="139" spans="1:4" s="35" customFormat="1">
      <c r="A139" s="3">
        <v>139</v>
      </c>
      <c r="B139" s="34"/>
      <c r="C139" s="34" t="s">
        <v>69</v>
      </c>
    </row>
    <row r="140" spans="1:4" s="35" customFormat="1" ht="14.25" thickBot="1">
      <c r="A140" s="3">
        <v>140</v>
      </c>
      <c r="B140" s="36"/>
      <c r="C140" s="36" t="s">
        <v>26</v>
      </c>
    </row>
    <row r="141" spans="1:4" s="35" customFormat="1">
      <c r="A141" s="3">
        <v>141</v>
      </c>
      <c r="B141" s="34"/>
      <c r="C141" s="37" t="s">
        <v>99</v>
      </c>
      <c r="D141" s="35" t="s">
        <v>98</v>
      </c>
    </row>
    <row r="142" spans="1:4" s="35" customFormat="1">
      <c r="A142" s="3">
        <v>142</v>
      </c>
      <c r="B142" s="34"/>
      <c r="C142" s="34" t="s">
        <v>100</v>
      </c>
      <c r="D142" s="35">
        <v>13</v>
      </c>
    </row>
    <row r="143" spans="1:4" s="35" customFormat="1">
      <c r="A143" s="3">
        <v>143</v>
      </c>
      <c r="B143" s="34"/>
      <c r="C143" s="34" t="s">
        <v>103</v>
      </c>
    </row>
    <row r="144" spans="1:4" s="35" customFormat="1">
      <c r="A144" s="3">
        <v>144</v>
      </c>
      <c r="B144" s="34"/>
      <c r="C144" s="34" t="s">
        <v>104</v>
      </c>
    </row>
    <row r="145" spans="1:4" s="35" customFormat="1">
      <c r="A145" s="3">
        <v>145</v>
      </c>
      <c r="B145" s="34"/>
      <c r="C145" s="34" t="s">
        <v>102</v>
      </c>
    </row>
    <row r="146" spans="1:4" s="35" customFormat="1">
      <c r="A146" s="3">
        <v>146</v>
      </c>
      <c r="B146" s="34"/>
      <c r="C146" s="34" t="s">
        <v>101</v>
      </c>
    </row>
    <row r="147" spans="1:4" s="35" customFormat="1">
      <c r="A147" s="3">
        <v>147</v>
      </c>
      <c r="B147" s="34"/>
      <c r="C147" s="34" t="s">
        <v>105</v>
      </c>
    </row>
    <row r="148" spans="1:4" s="35" customFormat="1">
      <c r="A148" s="3">
        <v>148</v>
      </c>
      <c r="B148" s="34"/>
      <c r="C148" s="34" t="s">
        <v>110</v>
      </c>
    </row>
    <row r="149" spans="1:4" s="35" customFormat="1">
      <c r="A149" s="3">
        <v>149</v>
      </c>
      <c r="B149" s="34"/>
      <c r="C149" s="34" t="s">
        <v>69</v>
      </c>
    </row>
    <row r="150" spans="1:4" s="35" customFormat="1" ht="14.25" thickBot="1">
      <c r="A150" s="3">
        <v>150</v>
      </c>
      <c r="B150" s="36"/>
      <c r="C150" s="36" t="s">
        <v>26</v>
      </c>
    </row>
    <row r="151" spans="1:4" s="35" customFormat="1">
      <c r="A151" s="3">
        <v>151</v>
      </c>
      <c r="B151" s="34"/>
      <c r="C151" s="37" t="s">
        <v>99</v>
      </c>
      <c r="D151" s="35" t="s">
        <v>98</v>
      </c>
    </row>
    <row r="152" spans="1:4" s="35" customFormat="1">
      <c r="A152" s="3">
        <v>152</v>
      </c>
      <c r="B152" s="34"/>
      <c r="C152" s="34" t="s">
        <v>100</v>
      </c>
      <c r="D152" s="35">
        <v>14</v>
      </c>
    </row>
    <row r="153" spans="1:4" s="35" customFormat="1">
      <c r="A153" s="3">
        <v>153</v>
      </c>
      <c r="B153" s="34"/>
      <c r="C153" s="34" t="s">
        <v>103</v>
      </c>
    </row>
    <row r="154" spans="1:4" s="35" customFormat="1">
      <c r="A154" s="3">
        <v>154</v>
      </c>
      <c r="B154" s="34"/>
      <c r="C154" s="34" t="s">
        <v>104</v>
      </c>
    </row>
    <row r="155" spans="1:4" s="35" customFormat="1">
      <c r="A155" s="3">
        <v>155</v>
      </c>
      <c r="B155" s="34"/>
      <c r="C155" s="34" t="s">
        <v>102</v>
      </c>
    </row>
    <row r="156" spans="1:4" s="35" customFormat="1">
      <c r="A156" s="3">
        <v>156</v>
      </c>
      <c r="B156" s="34"/>
      <c r="C156" s="34" t="s">
        <v>101</v>
      </c>
    </row>
    <row r="157" spans="1:4" s="35" customFormat="1">
      <c r="A157" s="3">
        <v>157</v>
      </c>
      <c r="B157" s="34"/>
      <c r="C157" s="34" t="s">
        <v>105</v>
      </c>
    </row>
    <row r="158" spans="1:4" s="35" customFormat="1">
      <c r="A158" s="3">
        <v>158</v>
      </c>
      <c r="B158" s="34"/>
      <c r="C158" s="34" t="s">
        <v>110</v>
      </c>
    </row>
    <row r="159" spans="1:4" s="35" customFormat="1">
      <c r="A159" s="3">
        <v>159</v>
      </c>
      <c r="B159" s="34"/>
      <c r="C159" s="34" t="s">
        <v>69</v>
      </c>
    </row>
    <row r="160" spans="1:4" s="35" customFormat="1" ht="14.25" thickBot="1">
      <c r="A160" s="3">
        <v>160</v>
      </c>
      <c r="B160" s="36"/>
      <c r="C160" s="36" t="s">
        <v>26</v>
      </c>
    </row>
    <row r="161" spans="1:4" s="35" customFormat="1">
      <c r="A161" s="3">
        <v>161</v>
      </c>
      <c r="B161" s="34"/>
      <c r="C161" s="37" t="s">
        <v>99</v>
      </c>
      <c r="D161" s="35" t="s">
        <v>98</v>
      </c>
    </row>
    <row r="162" spans="1:4" s="35" customFormat="1">
      <c r="A162" s="3">
        <v>162</v>
      </c>
      <c r="B162" s="34"/>
      <c r="C162" s="34" t="s">
        <v>100</v>
      </c>
      <c r="D162" s="35">
        <v>15</v>
      </c>
    </row>
    <row r="163" spans="1:4" s="35" customFormat="1">
      <c r="A163" s="3">
        <v>163</v>
      </c>
      <c r="B163" s="34"/>
      <c r="C163" s="34" t="s">
        <v>103</v>
      </c>
    </row>
    <row r="164" spans="1:4" s="35" customFormat="1">
      <c r="A164" s="3">
        <v>164</v>
      </c>
      <c r="B164" s="34"/>
      <c r="C164" s="34" t="s">
        <v>104</v>
      </c>
    </row>
    <row r="165" spans="1:4" s="35" customFormat="1">
      <c r="A165" s="3">
        <v>165</v>
      </c>
      <c r="B165" s="34"/>
      <c r="C165" s="34" t="s">
        <v>102</v>
      </c>
    </row>
    <row r="166" spans="1:4" s="35" customFormat="1">
      <c r="A166" s="3">
        <v>166</v>
      </c>
      <c r="B166" s="34"/>
      <c r="C166" s="34" t="s">
        <v>101</v>
      </c>
    </row>
    <row r="167" spans="1:4" s="35" customFormat="1">
      <c r="A167" s="3">
        <v>167</v>
      </c>
      <c r="B167" s="34"/>
      <c r="C167" s="34" t="s">
        <v>105</v>
      </c>
    </row>
    <row r="168" spans="1:4" s="35" customFormat="1">
      <c r="A168" s="3">
        <v>168</v>
      </c>
      <c r="B168" s="34"/>
      <c r="C168" s="34" t="s">
        <v>110</v>
      </c>
    </row>
    <row r="169" spans="1:4" s="35" customFormat="1">
      <c r="A169" s="3">
        <v>169</v>
      </c>
      <c r="B169" s="34"/>
      <c r="C169" s="34" t="s">
        <v>69</v>
      </c>
    </row>
    <row r="170" spans="1:4" s="35" customFormat="1" ht="14.25" thickBot="1">
      <c r="A170" s="3">
        <v>170</v>
      </c>
      <c r="B170" s="36"/>
      <c r="C170" s="36" t="s">
        <v>26</v>
      </c>
    </row>
    <row r="171" spans="1:4" s="54" customFormat="1">
      <c r="A171" s="52">
        <v>171</v>
      </c>
      <c r="B171" s="52" t="s">
        <v>545</v>
      </c>
      <c r="C171" s="53" t="s">
        <v>99</v>
      </c>
      <c r="D171" s="54" t="s">
        <v>346</v>
      </c>
    </row>
    <row r="172" spans="1:4" s="54" customFormat="1">
      <c r="A172" s="52">
        <v>172</v>
      </c>
      <c r="B172" s="52">
        <v>39</v>
      </c>
      <c r="C172" s="52" t="s">
        <v>100</v>
      </c>
      <c r="D172" s="54">
        <v>1</v>
      </c>
    </row>
    <row r="173" spans="1:4" s="54" customFormat="1">
      <c r="A173" s="52">
        <v>173</v>
      </c>
      <c r="B173" s="52">
        <v>4</v>
      </c>
      <c r="C173" s="52" t="s">
        <v>103</v>
      </c>
    </row>
    <row r="174" spans="1:4" s="54" customFormat="1">
      <c r="A174" s="52">
        <v>174</v>
      </c>
      <c r="B174" s="52">
        <v>4</v>
      </c>
      <c r="C174" s="52" t="s">
        <v>104</v>
      </c>
    </row>
    <row r="175" spans="1:4" s="54" customFormat="1">
      <c r="A175" s="52">
        <v>175</v>
      </c>
      <c r="B175" s="52">
        <v>43</v>
      </c>
      <c r="C175" s="52" t="s">
        <v>102</v>
      </c>
    </row>
    <row r="176" spans="1:4" s="54" customFormat="1">
      <c r="A176" s="52">
        <v>176</v>
      </c>
      <c r="B176" s="52">
        <v>35</v>
      </c>
      <c r="C176" s="52" t="s">
        <v>101</v>
      </c>
    </row>
    <row r="177" spans="1:4" s="54" customFormat="1">
      <c r="A177" s="52">
        <v>177</v>
      </c>
      <c r="B177" s="52" t="s">
        <v>538</v>
      </c>
      <c r="C177" s="52" t="s">
        <v>105</v>
      </c>
    </row>
    <row r="178" spans="1:4" s="54" customFormat="1">
      <c r="A178" s="52">
        <v>178</v>
      </c>
      <c r="B178" s="52" t="s">
        <v>539</v>
      </c>
      <c r="C178" s="52" t="s">
        <v>110</v>
      </c>
    </row>
    <row r="179" spans="1:4" s="54" customFormat="1">
      <c r="A179" s="52">
        <v>179</v>
      </c>
      <c r="B179" s="52" t="s">
        <v>546</v>
      </c>
      <c r="C179" s="52" t="s">
        <v>69</v>
      </c>
    </row>
    <row r="180" spans="1:4" s="54" customFormat="1" ht="14.25" thickBot="1">
      <c r="A180" s="52">
        <v>180</v>
      </c>
      <c r="B180" s="55"/>
      <c r="C180" s="55" t="s">
        <v>26</v>
      </c>
    </row>
    <row r="181" spans="1:4" s="54" customFormat="1">
      <c r="A181" s="52">
        <v>181</v>
      </c>
      <c r="B181" s="52" t="s">
        <v>547</v>
      </c>
      <c r="C181" s="53" t="s">
        <v>99</v>
      </c>
      <c r="D181" s="54" t="s">
        <v>346</v>
      </c>
    </row>
    <row r="182" spans="1:4" s="54" customFormat="1">
      <c r="A182" s="52">
        <v>182</v>
      </c>
      <c r="B182" s="52">
        <v>9</v>
      </c>
      <c r="C182" s="52" t="s">
        <v>100</v>
      </c>
      <c r="D182" s="54">
        <v>2</v>
      </c>
    </row>
    <row r="183" spans="1:4" s="54" customFormat="1">
      <c r="A183" s="52">
        <v>183</v>
      </c>
      <c r="B183" s="52">
        <v>0.1</v>
      </c>
      <c r="C183" s="52" t="s">
        <v>103</v>
      </c>
    </row>
    <row r="184" spans="1:4" s="54" customFormat="1">
      <c r="A184" s="52">
        <v>184</v>
      </c>
      <c r="B184" s="52">
        <v>0.1</v>
      </c>
      <c r="C184" s="52" t="s">
        <v>104</v>
      </c>
    </row>
    <row r="185" spans="1:4" s="54" customFormat="1">
      <c r="A185" s="52">
        <v>185</v>
      </c>
      <c r="B185" s="52">
        <v>9.1</v>
      </c>
      <c r="C185" s="52" t="s">
        <v>102</v>
      </c>
    </row>
    <row r="186" spans="1:4" s="54" customFormat="1">
      <c r="A186" s="52">
        <v>186</v>
      </c>
      <c r="B186" s="52">
        <v>8.9</v>
      </c>
      <c r="C186" s="52" t="s">
        <v>101</v>
      </c>
    </row>
    <row r="187" spans="1:4" s="54" customFormat="1">
      <c r="A187" s="52">
        <v>187</v>
      </c>
      <c r="B187" s="52" t="s">
        <v>538</v>
      </c>
      <c r="C187" s="52" t="s">
        <v>105</v>
      </c>
    </row>
    <row r="188" spans="1:4" s="54" customFormat="1">
      <c r="A188" s="52">
        <v>188</v>
      </c>
      <c r="B188" s="52" t="s">
        <v>539</v>
      </c>
      <c r="C188" s="52" t="s">
        <v>110</v>
      </c>
    </row>
    <row r="189" spans="1:4" s="54" customFormat="1">
      <c r="A189" s="52">
        <v>189</v>
      </c>
      <c r="B189" s="52" t="s">
        <v>71</v>
      </c>
      <c r="C189" s="52" t="s">
        <v>69</v>
      </c>
    </row>
    <row r="190" spans="1:4" s="54" customFormat="1" ht="14.25" thickBot="1">
      <c r="A190" s="52">
        <v>190</v>
      </c>
      <c r="B190" s="55"/>
      <c r="C190" s="55" t="s">
        <v>26</v>
      </c>
    </row>
    <row r="191" spans="1:4" s="54" customFormat="1">
      <c r="A191" s="52">
        <v>191</v>
      </c>
      <c r="B191" s="52"/>
      <c r="C191" s="53" t="s">
        <v>99</v>
      </c>
      <c r="D191" s="54" t="s">
        <v>346</v>
      </c>
    </row>
    <row r="192" spans="1:4" s="54" customFormat="1">
      <c r="A192" s="52">
        <v>192</v>
      </c>
      <c r="B192" s="52"/>
      <c r="C192" s="52" t="s">
        <v>100</v>
      </c>
      <c r="D192" s="54">
        <v>3</v>
      </c>
    </row>
    <row r="193" spans="1:4" s="54" customFormat="1">
      <c r="A193" s="52">
        <v>193</v>
      </c>
      <c r="B193" s="52"/>
      <c r="C193" s="52" t="s">
        <v>103</v>
      </c>
    </row>
    <row r="194" spans="1:4" s="54" customFormat="1">
      <c r="A194" s="52">
        <v>194</v>
      </c>
      <c r="B194" s="52"/>
      <c r="C194" s="52" t="s">
        <v>104</v>
      </c>
    </row>
    <row r="195" spans="1:4" s="54" customFormat="1">
      <c r="A195" s="52">
        <v>195</v>
      </c>
      <c r="B195" s="52"/>
      <c r="C195" s="52" t="s">
        <v>102</v>
      </c>
    </row>
    <row r="196" spans="1:4" s="54" customFormat="1">
      <c r="A196" s="52">
        <v>196</v>
      </c>
      <c r="B196" s="52"/>
      <c r="C196" s="52" t="s">
        <v>101</v>
      </c>
    </row>
    <row r="197" spans="1:4" s="54" customFormat="1">
      <c r="A197" s="52">
        <v>197</v>
      </c>
      <c r="B197" s="52"/>
      <c r="C197" s="52" t="s">
        <v>105</v>
      </c>
    </row>
    <row r="198" spans="1:4" s="54" customFormat="1">
      <c r="A198" s="52">
        <v>198</v>
      </c>
      <c r="B198" s="52"/>
      <c r="C198" s="52" t="s">
        <v>110</v>
      </c>
    </row>
    <row r="199" spans="1:4" s="54" customFormat="1">
      <c r="A199" s="52">
        <v>199</v>
      </c>
      <c r="B199" s="52"/>
      <c r="C199" s="52" t="s">
        <v>69</v>
      </c>
    </row>
    <row r="200" spans="1:4" s="54" customFormat="1" ht="14.25" thickBot="1">
      <c r="A200" s="52">
        <v>200</v>
      </c>
      <c r="B200" s="55"/>
      <c r="C200" s="55" t="s">
        <v>26</v>
      </c>
    </row>
    <row r="201" spans="1:4" s="54" customFormat="1">
      <c r="A201" s="52">
        <v>201</v>
      </c>
      <c r="B201" s="52"/>
      <c r="C201" s="53" t="s">
        <v>99</v>
      </c>
      <c r="D201" s="54" t="s">
        <v>346</v>
      </c>
    </row>
    <row r="202" spans="1:4" s="54" customFormat="1">
      <c r="A202" s="52">
        <v>202</v>
      </c>
      <c r="B202" s="52"/>
      <c r="C202" s="52" t="s">
        <v>100</v>
      </c>
      <c r="D202" s="54">
        <v>4</v>
      </c>
    </row>
    <row r="203" spans="1:4" s="54" customFormat="1">
      <c r="A203" s="52">
        <v>203</v>
      </c>
      <c r="B203" s="52"/>
      <c r="C203" s="52" t="s">
        <v>103</v>
      </c>
    </row>
    <row r="204" spans="1:4" s="54" customFormat="1">
      <c r="A204" s="52">
        <v>204</v>
      </c>
      <c r="B204" s="52"/>
      <c r="C204" s="52" t="s">
        <v>104</v>
      </c>
    </row>
    <row r="205" spans="1:4" s="54" customFormat="1">
      <c r="A205" s="52">
        <v>205</v>
      </c>
      <c r="B205" s="52"/>
      <c r="C205" s="52" t="s">
        <v>102</v>
      </c>
    </row>
    <row r="206" spans="1:4" s="54" customFormat="1">
      <c r="A206" s="52">
        <v>206</v>
      </c>
      <c r="B206" s="52"/>
      <c r="C206" s="52" t="s">
        <v>101</v>
      </c>
    </row>
    <row r="207" spans="1:4" s="54" customFormat="1">
      <c r="A207" s="52">
        <v>207</v>
      </c>
      <c r="B207" s="52"/>
      <c r="C207" s="52" t="s">
        <v>105</v>
      </c>
    </row>
    <row r="208" spans="1:4" s="54" customFormat="1">
      <c r="A208" s="52">
        <v>208</v>
      </c>
      <c r="B208" s="52"/>
      <c r="C208" s="52" t="s">
        <v>110</v>
      </c>
    </row>
    <row r="209" spans="1:5" s="54" customFormat="1">
      <c r="A209" s="52">
        <v>209</v>
      </c>
      <c r="B209" s="52"/>
      <c r="C209" s="52" t="s">
        <v>69</v>
      </c>
    </row>
    <row r="210" spans="1:5" s="54" customFormat="1" ht="14.25" thickBot="1">
      <c r="A210" s="52">
        <v>210</v>
      </c>
      <c r="B210" s="55"/>
      <c r="C210" s="55" t="s">
        <v>26</v>
      </c>
    </row>
    <row r="211" spans="1:5" s="54" customFormat="1">
      <c r="A211" s="52">
        <v>211</v>
      </c>
      <c r="B211" s="52"/>
      <c r="C211" s="53" t="s">
        <v>99</v>
      </c>
      <c r="D211" s="54" t="s">
        <v>346</v>
      </c>
    </row>
    <row r="212" spans="1:5" s="54" customFormat="1">
      <c r="A212" s="52">
        <v>212</v>
      </c>
      <c r="B212" s="52"/>
      <c r="C212" s="52" t="s">
        <v>100</v>
      </c>
      <c r="D212" s="54">
        <v>5</v>
      </c>
    </row>
    <row r="213" spans="1:5" s="54" customFormat="1">
      <c r="A213" s="52">
        <v>213</v>
      </c>
      <c r="B213" s="52"/>
      <c r="C213" s="52" t="s">
        <v>103</v>
      </c>
    </row>
    <row r="214" spans="1:5" s="54" customFormat="1">
      <c r="A214" s="52">
        <v>214</v>
      </c>
      <c r="B214" s="52"/>
      <c r="C214" s="52" t="s">
        <v>104</v>
      </c>
    </row>
    <row r="215" spans="1:5" s="54" customFormat="1">
      <c r="A215" s="52">
        <v>215</v>
      </c>
      <c r="B215" s="52"/>
      <c r="C215" s="52" t="s">
        <v>102</v>
      </c>
    </row>
    <row r="216" spans="1:5" s="54" customFormat="1">
      <c r="A216" s="52">
        <v>216</v>
      </c>
      <c r="B216" s="52"/>
      <c r="C216" s="52" t="s">
        <v>101</v>
      </c>
    </row>
    <row r="217" spans="1:5" s="54" customFormat="1">
      <c r="A217" s="52">
        <v>217</v>
      </c>
      <c r="B217" s="52"/>
      <c r="C217" s="52" t="s">
        <v>105</v>
      </c>
    </row>
    <row r="218" spans="1:5" s="54" customFormat="1">
      <c r="A218" s="52">
        <v>218</v>
      </c>
      <c r="B218" s="52"/>
      <c r="C218" s="52" t="s">
        <v>110</v>
      </c>
    </row>
    <row r="219" spans="1:5" s="54" customFormat="1">
      <c r="A219" s="52">
        <v>219</v>
      </c>
      <c r="B219" s="52"/>
      <c r="C219" s="52" t="s">
        <v>69</v>
      </c>
    </row>
    <row r="220" spans="1:5" s="54" customFormat="1" ht="14.25" thickBot="1">
      <c r="A220" s="52">
        <v>220</v>
      </c>
      <c r="B220" s="55"/>
      <c r="C220" s="55" t="s">
        <v>26</v>
      </c>
    </row>
    <row r="221" spans="1:5" s="39" customFormat="1">
      <c r="A221" s="38">
        <v>221</v>
      </c>
      <c r="B221" s="44">
        <v>14116</v>
      </c>
      <c r="C221" s="40" t="s">
        <v>15</v>
      </c>
      <c r="D221" s="39" t="s">
        <v>28</v>
      </c>
    </row>
    <row r="222" spans="1:5" s="39" customFormat="1">
      <c r="A222" s="38">
        <v>222</v>
      </c>
      <c r="B222" s="44">
        <v>12041</v>
      </c>
      <c r="C222" s="38" t="s">
        <v>16</v>
      </c>
      <c r="E222" s="44"/>
    </row>
    <row r="223" spans="1:5" s="39" customFormat="1">
      <c r="A223" s="38">
        <v>223</v>
      </c>
      <c r="B223" s="44">
        <v>14883</v>
      </c>
      <c r="C223" s="38" t="s">
        <v>17</v>
      </c>
      <c r="E223" s="44"/>
    </row>
    <row r="224" spans="1:5" s="39" customFormat="1">
      <c r="A224" s="38">
        <v>224</v>
      </c>
      <c r="B224" s="44">
        <v>13349</v>
      </c>
      <c r="C224" s="38" t="s">
        <v>18</v>
      </c>
      <c r="E224" s="44"/>
    </row>
    <row r="225" spans="1:5" s="39" customFormat="1">
      <c r="A225" s="38">
        <v>225</v>
      </c>
      <c r="B225" s="44">
        <v>13368</v>
      </c>
      <c r="C225" s="38" t="s">
        <v>19</v>
      </c>
      <c r="E225" s="44"/>
    </row>
    <row r="226" spans="1:5" s="39" customFormat="1">
      <c r="A226" s="38">
        <v>226</v>
      </c>
      <c r="B226" s="44"/>
      <c r="C226" s="38" t="s">
        <v>20</v>
      </c>
      <c r="E226" s="44"/>
    </row>
    <row r="227" spans="1:5" s="39" customFormat="1">
      <c r="A227" s="38">
        <v>227</v>
      </c>
      <c r="B227" s="44"/>
      <c r="C227" s="38" t="s">
        <v>21</v>
      </c>
      <c r="E227" s="44"/>
    </row>
    <row r="228" spans="1:5" s="39" customFormat="1">
      <c r="A228" s="38">
        <v>228</v>
      </c>
      <c r="B228" s="44"/>
      <c r="C228" s="38" t="s">
        <v>22</v>
      </c>
      <c r="E228" s="44"/>
    </row>
    <row r="229" spans="1:5" s="39" customFormat="1">
      <c r="A229" s="38">
        <v>229</v>
      </c>
      <c r="B229" s="44"/>
      <c r="C229" s="38" t="s">
        <v>23</v>
      </c>
      <c r="E229" s="44"/>
    </row>
    <row r="230" spans="1:5" s="39" customFormat="1">
      <c r="A230" s="38">
        <v>230</v>
      </c>
      <c r="B230" s="44"/>
      <c r="C230" s="38" t="s">
        <v>24</v>
      </c>
      <c r="E230" s="44"/>
    </row>
    <row r="231" spans="1:5" s="39" customFormat="1">
      <c r="A231" s="38">
        <v>231</v>
      </c>
      <c r="B231" s="44" t="s">
        <v>548</v>
      </c>
      <c r="C231" s="38" t="s">
        <v>38</v>
      </c>
      <c r="E231" s="44"/>
    </row>
    <row r="232" spans="1:5" s="39" customFormat="1">
      <c r="A232" s="38">
        <v>232</v>
      </c>
      <c r="B232" s="44" t="s">
        <v>536</v>
      </c>
      <c r="C232" s="38" t="s">
        <v>39</v>
      </c>
    </row>
    <row r="233" spans="1:5" s="39" customFormat="1">
      <c r="A233" s="38">
        <v>233</v>
      </c>
      <c r="B233" s="44" t="s">
        <v>535</v>
      </c>
      <c r="C233" s="38" t="s">
        <v>344</v>
      </c>
    </row>
    <row r="234" spans="1:5" s="39" customFormat="1">
      <c r="A234" s="38">
        <v>234</v>
      </c>
      <c r="B234" s="44"/>
      <c r="C234" s="38" t="s">
        <v>8</v>
      </c>
    </row>
    <row r="235" spans="1:5" s="39" customFormat="1" ht="14.25" thickBot="1">
      <c r="A235" s="38">
        <v>235</v>
      </c>
      <c r="B235" s="44"/>
      <c r="C235" s="50" t="s">
        <v>8</v>
      </c>
    </row>
    <row r="236" spans="1:5" s="39" customFormat="1">
      <c r="A236" s="38">
        <v>236</v>
      </c>
      <c r="B236" s="45">
        <v>1534.44</v>
      </c>
      <c r="C236" s="40" t="s">
        <v>15</v>
      </c>
      <c r="D236" s="39" t="s">
        <v>29</v>
      </c>
    </row>
    <row r="237" spans="1:5" s="39" customFormat="1">
      <c r="A237" s="38">
        <v>237</v>
      </c>
      <c r="B237" s="44">
        <v>1535.4</v>
      </c>
      <c r="C237" s="38" t="s">
        <v>16</v>
      </c>
    </row>
    <row r="238" spans="1:5" s="39" customFormat="1">
      <c r="A238" s="38">
        <v>238</v>
      </c>
      <c r="B238" s="44">
        <v>1549.54</v>
      </c>
      <c r="C238" s="38" t="s">
        <v>17</v>
      </c>
    </row>
    <row r="239" spans="1:5" s="39" customFormat="1">
      <c r="A239" s="38">
        <v>239</v>
      </c>
      <c r="B239" s="44">
        <v>1475.46</v>
      </c>
      <c r="C239" s="38" t="s">
        <v>18</v>
      </c>
    </row>
    <row r="240" spans="1:5" s="39" customFormat="1">
      <c r="A240" s="38">
        <v>240</v>
      </c>
      <c r="B240" s="44">
        <v>1519.13</v>
      </c>
      <c r="C240" s="38" t="s">
        <v>19</v>
      </c>
    </row>
    <row r="241" spans="1:4" s="39" customFormat="1">
      <c r="A241" s="38">
        <v>241</v>
      </c>
      <c r="B241" s="44"/>
      <c r="C241" s="38" t="s">
        <v>20</v>
      </c>
    </row>
    <row r="242" spans="1:4" s="39" customFormat="1">
      <c r="A242" s="38">
        <v>242</v>
      </c>
      <c r="B242" s="44"/>
      <c r="C242" s="38" t="s">
        <v>21</v>
      </c>
    </row>
    <row r="243" spans="1:4" s="39" customFormat="1">
      <c r="A243" s="38">
        <v>243</v>
      </c>
      <c r="B243" s="44"/>
      <c r="C243" s="38" t="s">
        <v>22</v>
      </c>
    </row>
    <row r="244" spans="1:4" s="39" customFormat="1">
      <c r="A244" s="38">
        <v>244</v>
      </c>
      <c r="B244" s="44"/>
      <c r="C244" s="38" t="s">
        <v>23</v>
      </c>
    </row>
    <row r="245" spans="1:4" s="39" customFormat="1">
      <c r="A245" s="38">
        <v>245</v>
      </c>
      <c r="B245" s="44"/>
      <c r="C245" s="38" t="s">
        <v>24</v>
      </c>
    </row>
    <row r="246" spans="1:4" s="39" customFormat="1">
      <c r="A246" s="38">
        <v>246</v>
      </c>
      <c r="B246" s="44" t="s">
        <v>548</v>
      </c>
      <c r="C246" s="38" t="s">
        <v>38</v>
      </c>
    </row>
    <row r="247" spans="1:4" s="39" customFormat="1">
      <c r="A247" s="38">
        <v>247</v>
      </c>
      <c r="B247" s="44" t="s">
        <v>540</v>
      </c>
      <c r="C247" s="38" t="s">
        <v>39</v>
      </c>
    </row>
    <row r="248" spans="1:4" s="39" customFormat="1">
      <c r="A248" s="38">
        <v>248</v>
      </c>
      <c r="B248" s="44" t="s">
        <v>535</v>
      </c>
      <c r="C248" s="38" t="s">
        <v>344</v>
      </c>
    </row>
    <row r="249" spans="1:4" s="39" customFormat="1">
      <c r="A249" s="38">
        <v>249</v>
      </c>
      <c r="B249" s="44"/>
      <c r="C249" s="38" t="s">
        <v>8</v>
      </c>
    </row>
    <row r="250" spans="1:4" s="39" customFormat="1" ht="14.25" thickBot="1">
      <c r="A250" s="38">
        <v>250</v>
      </c>
      <c r="B250" s="44"/>
      <c r="C250" s="50" t="s">
        <v>8</v>
      </c>
    </row>
    <row r="251" spans="1:4" s="39" customFormat="1">
      <c r="A251" s="38">
        <v>251</v>
      </c>
      <c r="B251" s="45">
        <v>48.35</v>
      </c>
      <c r="C251" s="40" t="s">
        <v>15</v>
      </c>
      <c r="D251" s="39" t="s">
        <v>30</v>
      </c>
    </row>
    <row r="252" spans="1:4" s="39" customFormat="1">
      <c r="A252" s="38">
        <v>252</v>
      </c>
      <c r="B252" s="44">
        <v>48.25</v>
      </c>
      <c r="C252" s="38" t="s">
        <v>16</v>
      </c>
    </row>
    <row r="253" spans="1:4" s="39" customFormat="1">
      <c r="A253" s="38">
        <v>253</v>
      </c>
      <c r="B253" s="44">
        <v>48.54</v>
      </c>
      <c r="C253" s="38" t="s">
        <v>17</v>
      </c>
    </row>
    <row r="254" spans="1:4" s="39" customFormat="1">
      <c r="A254" s="38">
        <v>254</v>
      </c>
      <c r="B254" s="44">
        <v>48.07</v>
      </c>
      <c r="C254" s="38" t="s">
        <v>18</v>
      </c>
    </row>
    <row r="255" spans="1:4" s="39" customFormat="1">
      <c r="A255" s="38">
        <v>255</v>
      </c>
      <c r="B255" s="44">
        <v>48.27</v>
      </c>
      <c r="C255" s="38" t="s">
        <v>19</v>
      </c>
    </row>
    <row r="256" spans="1:4" s="39" customFormat="1">
      <c r="A256" s="38">
        <v>256</v>
      </c>
      <c r="B256" s="44"/>
      <c r="C256" s="38" t="s">
        <v>20</v>
      </c>
    </row>
    <row r="257" spans="1:4" s="39" customFormat="1">
      <c r="A257" s="38">
        <v>257</v>
      </c>
      <c r="B257" s="44"/>
      <c r="C257" s="38" t="s">
        <v>21</v>
      </c>
    </row>
    <row r="258" spans="1:4" s="39" customFormat="1">
      <c r="A258" s="38">
        <v>258</v>
      </c>
      <c r="B258" s="44"/>
      <c r="C258" s="38" t="s">
        <v>22</v>
      </c>
    </row>
    <row r="259" spans="1:4" s="39" customFormat="1">
      <c r="A259" s="38">
        <v>259</v>
      </c>
      <c r="B259" s="44"/>
      <c r="C259" s="38" t="s">
        <v>23</v>
      </c>
    </row>
    <row r="260" spans="1:4" s="39" customFormat="1">
      <c r="A260" s="38">
        <v>260</v>
      </c>
      <c r="B260" s="44"/>
      <c r="C260" s="38" t="s">
        <v>24</v>
      </c>
    </row>
    <row r="261" spans="1:4" s="39" customFormat="1">
      <c r="A261" s="38">
        <v>261</v>
      </c>
      <c r="B261" s="44" t="s">
        <v>548</v>
      </c>
      <c r="C261" s="38" t="s">
        <v>38</v>
      </c>
    </row>
    <row r="262" spans="1:4" s="39" customFormat="1">
      <c r="A262" s="38">
        <v>262</v>
      </c>
      <c r="B262" s="44" t="s">
        <v>541</v>
      </c>
      <c r="C262" s="38" t="s">
        <v>39</v>
      </c>
    </row>
    <row r="263" spans="1:4" s="39" customFormat="1">
      <c r="A263" s="38">
        <v>263</v>
      </c>
      <c r="B263" s="44" t="s">
        <v>535</v>
      </c>
      <c r="C263" s="38" t="s">
        <v>344</v>
      </c>
    </row>
    <row r="264" spans="1:4" s="39" customFormat="1">
      <c r="A264" s="38">
        <v>264</v>
      </c>
      <c r="B264" s="44"/>
      <c r="C264" s="38" t="s">
        <v>8</v>
      </c>
    </row>
    <row r="265" spans="1:4" s="39" customFormat="1" ht="14.25" thickBot="1">
      <c r="A265" s="38">
        <v>265</v>
      </c>
      <c r="B265" s="44"/>
      <c r="C265" s="50" t="s">
        <v>8</v>
      </c>
    </row>
    <row r="266" spans="1:4" s="39" customFormat="1">
      <c r="A266" s="38">
        <v>266</v>
      </c>
      <c r="B266" s="45">
        <v>1.5489999999999999</v>
      </c>
      <c r="C266" s="40" t="s">
        <v>15</v>
      </c>
      <c r="D266" s="39" t="s">
        <v>31</v>
      </c>
    </row>
    <row r="267" spans="1:4" s="39" customFormat="1">
      <c r="A267" s="38">
        <v>267</v>
      </c>
      <c r="B267" s="44">
        <v>1.601</v>
      </c>
      <c r="C267" s="38" t="s">
        <v>16</v>
      </c>
    </row>
    <row r="268" spans="1:4" s="39" customFormat="1">
      <c r="A268" s="38">
        <v>268</v>
      </c>
      <c r="B268" s="44">
        <v>1.5640000000000001</v>
      </c>
      <c r="C268" s="38" t="s">
        <v>17</v>
      </c>
    </row>
    <row r="269" spans="1:4" s="39" customFormat="1">
      <c r="A269" s="38">
        <v>269</v>
      </c>
      <c r="B269" s="44">
        <v>1.5820000000000001</v>
      </c>
      <c r="C269" s="38" t="s">
        <v>18</v>
      </c>
    </row>
    <row r="270" spans="1:4" s="39" customFormat="1">
      <c r="A270" s="38">
        <v>270</v>
      </c>
      <c r="B270" s="44">
        <v>1.621</v>
      </c>
      <c r="C270" s="38" t="s">
        <v>19</v>
      </c>
    </row>
    <row r="271" spans="1:4" s="39" customFormat="1">
      <c r="A271" s="38">
        <v>271</v>
      </c>
      <c r="B271" s="44"/>
      <c r="C271" s="38" t="s">
        <v>20</v>
      </c>
    </row>
    <row r="272" spans="1:4" s="39" customFormat="1">
      <c r="A272" s="38">
        <v>272</v>
      </c>
      <c r="B272" s="44"/>
      <c r="C272" s="38" t="s">
        <v>21</v>
      </c>
    </row>
    <row r="273" spans="1:4" s="39" customFormat="1">
      <c r="A273" s="38">
        <v>273</v>
      </c>
      <c r="B273" s="44"/>
      <c r="C273" s="38" t="s">
        <v>22</v>
      </c>
    </row>
    <row r="274" spans="1:4" s="39" customFormat="1">
      <c r="A274" s="38">
        <v>274</v>
      </c>
      <c r="B274" s="44"/>
      <c r="C274" s="38" t="s">
        <v>23</v>
      </c>
    </row>
    <row r="275" spans="1:4" s="39" customFormat="1">
      <c r="A275" s="38">
        <v>275</v>
      </c>
      <c r="B275" s="44"/>
      <c r="C275" s="38" t="s">
        <v>24</v>
      </c>
    </row>
    <row r="276" spans="1:4" s="39" customFormat="1">
      <c r="A276" s="38">
        <v>276</v>
      </c>
      <c r="B276" s="44" t="s">
        <v>548</v>
      </c>
      <c r="C276" s="38" t="s">
        <v>38</v>
      </c>
    </row>
    <row r="277" spans="1:4" s="39" customFormat="1">
      <c r="A277" s="38">
        <v>277</v>
      </c>
      <c r="B277" s="44" t="s">
        <v>542</v>
      </c>
      <c r="C277" s="38" t="s">
        <v>39</v>
      </c>
    </row>
    <row r="278" spans="1:4" s="39" customFormat="1">
      <c r="A278" s="38">
        <v>278</v>
      </c>
      <c r="B278" s="44" t="s">
        <v>535</v>
      </c>
      <c r="C278" s="38" t="s">
        <v>344</v>
      </c>
    </row>
    <row r="279" spans="1:4" s="39" customFormat="1">
      <c r="A279" s="38">
        <v>279</v>
      </c>
      <c r="B279" s="44"/>
      <c r="C279" s="38" t="s">
        <v>8</v>
      </c>
    </row>
    <row r="280" spans="1:4" s="39" customFormat="1" ht="14.25" thickBot="1">
      <c r="A280" s="38">
        <v>280</v>
      </c>
      <c r="B280" s="44"/>
      <c r="C280" s="50" t="s">
        <v>8</v>
      </c>
    </row>
    <row r="281" spans="1:4" s="39" customFormat="1">
      <c r="A281" s="38">
        <v>281</v>
      </c>
      <c r="B281" s="45">
        <v>567</v>
      </c>
      <c r="C281" s="40" t="s">
        <v>15</v>
      </c>
      <c r="D281" s="39" t="s">
        <v>32</v>
      </c>
    </row>
    <row r="282" spans="1:4" s="39" customFormat="1">
      <c r="A282" s="38">
        <v>282</v>
      </c>
      <c r="B282" s="44">
        <v>607</v>
      </c>
      <c r="C282" s="38" t="s">
        <v>16</v>
      </c>
    </row>
    <row r="283" spans="1:4" s="39" customFormat="1">
      <c r="A283" s="38">
        <v>283</v>
      </c>
      <c r="B283" s="44">
        <v>646</v>
      </c>
      <c r="C283" s="38" t="s">
        <v>17</v>
      </c>
    </row>
    <row r="284" spans="1:4" s="39" customFormat="1">
      <c r="A284" s="38">
        <v>284</v>
      </c>
      <c r="B284" s="44">
        <v>796</v>
      </c>
      <c r="C284" s="38" t="s">
        <v>18</v>
      </c>
    </row>
    <row r="285" spans="1:4" s="39" customFormat="1">
      <c r="A285" s="38">
        <v>285</v>
      </c>
      <c r="B285" s="44">
        <v>597</v>
      </c>
      <c r="C285" s="38" t="s">
        <v>19</v>
      </c>
    </row>
    <row r="286" spans="1:4" s="39" customFormat="1">
      <c r="A286" s="38">
        <v>286</v>
      </c>
      <c r="B286" s="44"/>
      <c r="C286" s="38" t="s">
        <v>20</v>
      </c>
    </row>
    <row r="287" spans="1:4" s="39" customFormat="1">
      <c r="A287" s="38">
        <v>287</v>
      </c>
      <c r="B287" s="44"/>
      <c r="C287" s="38" t="s">
        <v>21</v>
      </c>
    </row>
    <row r="288" spans="1:4" s="39" customFormat="1">
      <c r="A288" s="38">
        <v>288</v>
      </c>
      <c r="B288" s="44"/>
      <c r="C288" s="38" t="s">
        <v>22</v>
      </c>
    </row>
    <row r="289" spans="1:4" s="39" customFormat="1">
      <c r="A289" s="38">
        <v>289</v>
      </c>
      <c r="B289" s="44"/>
      <c r="C289" s="38" t="s">
        <v>23</v>
      </c>
    </row>
    <row r="290" spans="1:4" s="39" customFormat="1">
      <c r="A290" s="38">
        <v>290</v>
      </c>
      <c r="B290" s="44"/>
      <c r="C290" s="38" t="s">
        <v>24</v>
      </c>
    </row>
    <row r="291" spans="1:4" s="39" customFormat="1">
      <c r="A291" s="38">
        <v>291</v>
      </c>
      <c r="B291" s="44" t="s">
        <v>548</v>
      </c>
      <c r="C291" s="38" t="s">
        <v>38</v>
      </c>
    </row>
    <row r="292" spans="1:4" s="39" customFormat="1">
      <c r="A292" s="38">
        <v>292</v>
      </c>
      <c r="B292" s="44" t="s">
        <v>544</v>
      </c>
      <c r="C292" s="38" t="s">
        <v>39</v>
      </c>
    </row>
    <row r="293" spans="1:4" s="39" customFormat="1">
      <c r="A293" s="38">
        <v>293</v>
      </c>
      <c r="B293" s="44" t="s">
        <v>535</v>
      </c>
      <c r="C293" s="38" t="s">
        <v>344</v>
      </c>
    </row>
    <row r="294" spans="1:4" s="39" customFormat="1">
      <c r="A294" s="38">
        <v>294</v>
      </c>
      <c r="B294" s="44"/>
      <c r="C294" s="38" t="s">
        <v>8</v>
      </c>
    </row>
    <row r="295" spans="1:4" s="39" customFormat="1" ht="14.25" thickBot="1">
      <c r="A295" s="38">
        <v>295</v>
      </c>
      <c r="B295" s="44"/>
      <c r="C295" s="50" t="s">
        <v>8</v>
      </c>
    </row>
    <row r="296" spans="1:4" s="39" customFormat="1">
      <c r="A296" s="38">
        <v>296</v>
      </c>
      <c r="B296" s="45"/>
      <c r="C296" s="40" t="s">
        <v>15</v>
      </c>
      <c r="D296" s="39" t="s">
        <v>33</v>
      </c>
    </row>
    <row r="297" spans="1:4" s="39" customFormat="1">
      <c r="A297" s="38">
        <v>297</v>
      </c>
      <c r="B297" s="44"/>
      <c r="C297" s="38" t="s">
        <v>16</v>
      </c>
    </row>
    <row r="298" spans="1:4" s="39" customFormat="1">
      <c r="A298" s="38">
        <v>298</v>
      </c>
      <c r="B298" s="44"/>
      <c r="C298" s="38" t="s">
        <v>17</v>
      </c>
    </row>
    <row r="299" spans="1:4" s="39" customFormat="1">
      <c r="A299" s="38">
        <v>299</v>
      </c>
      <c r="B299" s="44"/>
      <c r="C299" s="38" t="s">
        <v>18</v>
      </c>
    </row>
    <row r="300" spans="1:4" s="39" customFormat="1">
      <c r="A300" s="38">
        <v>300</v>
      </c>
      <c r="B300" s="44"/>
      <c r="C300" s="38" t="s">
        <v>19</v>
      </c>
    </row>
    <row r="301" spans="1:4" s="39" customFormat="1">
      <c r="A301" s="38">
        <v>301</v>
      </c>
      <c r="B301" s="44"/>
      <c r="C301" s="38" t="s">
        <v>20</v>
      </c>
    </row>
    <row r="302" spans="1:4" s="39" customFormat="1">
      <c r="A302" s="38">
        <v>302</v>
      </c>
      <c r="B302" s="44"/>
      <c r="C302" s="38" t="s">
        <v>21</v>
      </c>
    </row>
    <row r="303" spans="1:4" s="39" customFormat="1">
      <c r="A303" s="38">
        <v>303</v>
      </c>
      <c r="B303" s="44"/>
      <c r="C303" s="38" t="s">
        <v>22</v>
      </c>
    </row>
    <row r="304" spans="1:4" s="39" customFormat="1">
      <c r="A304" s="38">
        <v>304</v>
      </c>
      <c r="B304" s="44"/>
      <c r="C304" s="38" t="s">
        <v>23</v>
      </c>
    </row>
    <row r="305" spans="1:4" s="39" customFormat="1">
      <c r="A305" s="38">
        <v>305</v>
      </c>
      <c r="B305" s="44"/>
      <c r="C305" s="38" t="s">
        <v>24</v>
      </c>
    </row>
    <row r="306" spans="1:4" s="39" customFormat="1">
      <c r="A306" s="38">
        <v>306</v>
      </c>
      <c r="B306" s="44"/>
      <c r="C306" s="38" t="s">
        <v>38</v>
      </c>
    </row>
    <row r="307" spans="1:4" s="39" customFormat="1">
      <c r="A307" s="38">
        <v>307</v>
      </c>
      <c r="B307" s="44"/>
      <c r="C307" s="38" t="s">
        <v>39</v>
      </c>
    </row>
    <row r="308" spans="1:4" s="39" customFormat="1">
      <c r="A308" s="38">
        <v>308</v>
      </c>
      <c r="B308" s="44"/>
      <c r="C308" s="38" t="s">
        <v>344</v>
      </c>
    </row>
    <row r="309" spans="1:4" s="39" customFormat="1">
      <c r="A309" s="38">
        <v>309</v>
      </c>
      <c r="B309" s="44"/>
      <c r="C309" s="38" t="s">
        <v>8</v>
      </c>
    </row>
    <row r="310" spans="1:4" s="39" customFormat="1" ht="14.25" thickBot="1">
      <c r="A310" s="38">
        <v>310</v>
      </c>
      <c r="B310" s="46"/>
      <c r="C310" s="50" t="s">
        <v>8</v>
      </c>
    </row>
    <row r="311" spans="1:4" s="39" customFormat="1">
      <c r="A311" s="38">
        <v>311</v>
      </c>
      <c r="B311" s="45"/>
      <c r="C311" s="40" t="s">
        <v>15</v>
      </c>
      <c r="D311" s="39" t="s">
        <v>34</v>
      </c>
    </row>
    <row r="312" spans="1:4" s="39" customFormat="1">
      <c r="A312" s="38">
        <v>312</v>
      </c>
      <c r="B312" s="44"/>
      <c r="C312" s="38" t="s">
        <v>16</v>
      </c>
    </row>
    <row r="313" spans="1:4" s="39" customFormat="1">
      <c r="A313" s="38">
        <v>313</v>
      </c>
      <c r="B313" s="44"/>
      <c r="C313" s="38" t="s">
        <v>17</v>
      </c>
    </row>
    <row r="314" spans="1:4" s="39" customFormat="1">
      <c r="A314" s="38">
        <v>314</v>
      </c>
      <c r="B314" s="44"/>
      <c r="C314" s="38" t="s">
        <v>18</v>
      </c>
    </row>
    <row r="315" spans="1:4" s="39" customFormat="1">
      <c r="A315" s="38">
        <v>315</v>
      </c>
      <c r="B315" s="44"/>
      <c r="C315" s="38" t="s">
        <v>19</v>
      </c>
    </row>
    <row r="316" spans="1:4" s="39" customFormat="1">
      <c r="A316" s="38">
        <v>316</v>
      </c>
      <c r="B316" s="44"/>
      <c r="C316" s="38" t="s">
        <v>20</v>
      </c>
    </row>
    <row r="317" spans="1:4" s="39" customFormat="1">
      <c r="A317" s="38">
        <v>317</v>
      </c>
      <c r="B317" s="44"/>
      <c r="C317" s="38" t="s">
        <v>21</v>
      </c>
    </row>
    <row r="318" spans="1:4" s="39" customFormat="1">
      <c r="A318" s="38">
        <v>318</v>
      </c>
      <c r="B318" s="44"/>
      <c r="C318" s="38" t="s">
        <v>22</v>
      </c>
    </row>
    <row r="319" spans="1:4" s="39" customFormat="1">
      <c r="A319" s="38">
        <v>319</v>
      </c>
      <c r="B319" s="44"/>
      <c r="C319" s="38" t="s">
        <v>23</v>
      </c>
    </row>
    <row r="320" spans="1:4" s="39" customFormat="1">
      <c r="A320" s="38">
        <v>320</v>
      </c>
      <c r="B320" s="44"/>
      <c r="C320" s="38" t="s">
        <v>24</v>
      </c>
    </row>
    <row r="321" spans="1:4" s="39" customFormat="1">
      <c r="A321" s="38">
        <v>321</v>
      </c>
      <c r="B321" s="44"/>
      <c r="C321" s="38" t="s">
        <v>38</v>
      </c>
    </row>
    <row r="322" spans="1:4" s="39" customFormat="1">
      <c r="A322" s="38">
        <v>322</v>
      </c>
      <c r="B322" s="44"/>
      <c r="C322" s="38" t="s">
        <v>39</v>
      </c>
    </row>
    <row r="323" spans="1:4" s="39" customFormat="1">
      <c r="A323" s="38">
        <v>323</v>
      </c>
      <c r="B323" s="44"/>
      <c r="C323" s="38" t="s">
        <v>344</v>
      </c>
    </row>
    <row r="324" spans="1:4" s="39" customFormat="1">
      <c r="A324" s="38">
        <v>324</v>
      </c>
      <c r="B324" s="44"/>
      <c r="C324" s="38" t="s">
        <v>8</v>
      </c>
    </row>
    <row r="325" spans="1:4" s="39" customFormat="1" ht="14.25" thickBot="1">
      <c r="A325" s="38">
        <v>325</v>
      </c>
      <c r="B325" s="46"/>
      <c r="C325" s="50" t="s">
        <v>8</v>
      </c>
    </row>
    <row r="326" spans="1:4" s="39" customFormat="1">
      <c r="A326" s="38">
        <v>326</v>
      </c>
      <c r="B326" s="45"/>
      <c r="C326" s="40" t="s">
        <v>15</v>
      </c>
      <c r="D326" s="39" t="s">
        <v>35</v>
      </c>
    </row>
    <row r="327" spans="1:4" s="39" customFormat="1">
      <c r="A327" s="38">
        <v>327</v>
      </c>
      <c r="B327" s="44"/>
      <c r="C327" s="38" t="s">
        <v>16</v>
      </c>
    </row>
    <row r="328" spans="1:4" s="39" customFormat="1">
      <c r="A328" s="38">
        <v>328</v>
      </c>
      <c r="B328" s="44"/>
      <c r="C328" s="38" t="s">
        <v>17</v>
      </c>
    </row>
    <row r="329" spans="1:4" s="39" customFormat="1">
      <c r="A329" s="38">
        <v>329</v>
      </c>
      <c r="B329" s="44"/>
      <c r="C329" s="38" t="s">
        <v>18</v>
      </c>
    </row>
    <row r="330" spans="1:4" s="39" customFormat="1">
      <c r="A330" s="38">
        <v>330</v>
      </c>
      <c r="B330" s="44"/>
      <c r="C330" s="38" t="s">
        <v>19</v>
      </c>
    </row>
    <row r="331" spans="1:4" s="39" customFormat="1">
      <c r="A331" s="38">
        <v>331</v>
      </c>
      <c r="B331" s="44"/>
      <c r="C331" s="38" t="s">
        <v>20</v>
      </c>
    </row>
    <row r="332" spans="1:4" s="39" customFormat="1">
      <c r="A332" s="38">
        <v>332</v>
      </c>
      <c r="B332" s="44"/>
      <c r="C332" s="38" t="s">
        <v>21</v>
      </c>
    </row>
    <row r="333" spans="1:4" s="39" customFormat="1">
      <c r="A333" s="38">
        <v>333</v>
      </c>
      <c r="B333" s="44"/>
      <c r="C333" s="38" t="s">
        <v>22</v>
      </c>
    </row>
    <row r="334" spans="1:4" s="39" customFormat="1">
      <c r="A334" s="38">
        <v>334</v>
      </c>
      <c r="B334" s="44"/>
      <c r="C334" s="38" t="s">
        <v>23</v>
      </c>
    </row>
    <row r="335" spans="1:4" s="39" customFormat="1">
      <c r="A335" s="38">
        <v>335</v>
      </c>
      <c r="B335" s="44"/>
      <c r="C335" s="38" t="s">
        <v>24</v>
      </c>
    </row>
    <row r="336" spans="1:4" s="39" customFormat="1">
      <c r="A336" s="38">
        <v>336</v>
      </c>
      <c r="B336" s="44"/>
      <c r="C336" s="38" t="s">
        <v>38</v>
      </c>
    </row>
    <row r="337" spans="1:4" s="39" customFormat="1">
      <c r="A337" s="38">
        <v>337</v>
      </c>
      <c r="B337" s="44"/>
      <c r="C337" s="38" t="s">
        <v>39</v>
      </c>
    </row>
    <row r="338" spans="1:4" s="39" customFormat="1">
      <c r="A338" s="38">
        <v>338</v>
      </c>
      <c r="B338" s="44"/>
      <c r="C338" s="38" t="s">
        <v>344</v>
      </c>
    </row>
    <row r="339" spans="1:4" s="39" customFormat="1">
      <c r="A339" s="38">
        <v>339</v>
      </c>
      <c r="B339" s="44"/>
      <c r="C339" s="38" t="s">
        <v>8</v>
      </c>
    </row>
    <row r="340" spans="1:4" s="39" customFormat="1" ht="14.25" thickBot="1">
      <c r="A340" s="38">
        <v>340</v>
      </c>
      <c r="B340" s="46"/>
      <c r="C340" s="50" t="s">
        <v>8</v>
      </c>
    </row>
    <row r="341" spans="1:4" s="39" customFormat="1">
      <c r="A341" s="38">
        <v>341</v>
      </c>
      <c r="B341" s="45"/>
      <c r="C341" s="40" t="s">
        <v>15</v>
      </c>
      <c r="D341" s="39" t="s">
        <v>36</v>
      </c>
    </row>
    <row r="342" spans="1:4" s="39" customFormat="1">
      <c r="A342" s="38">
        <v>342</v>
      </c>
      <c r="B342" s="44"/>
      <c r="C342" s="38" t="s">
        <v>16</v>
      </c>
    </row>
    <row r="343" spans="1:4" s="39" customFormat="1">
      <c r="A343" s="38">
        <v>343</v>
      </c>
      <c r="B343" s="44"/>
      <c r="C343" s="38" t="s">
        <v>17</v>
      </c>
    </row>
    <row r="344" spans="1:4" s="39" customFormat="1">
      <c r="A344" s="38">
        <v>344</v>
      </c>
      <c r="B344" s="44"/>
      <c r="C344" s="38" t="s">
        <v>18</v>
      </c>
    </row>
    <row r="345" spans="1:4" s="39" customFormat="1">
      <c r="A345" s="38">
        <v>345</v>
      </c>
      <c r="B345" s="44"/>
      <c r="C345" s="38" t="s">
        <v>19</v>
      </c>
    </row>
    <row r="346" spans="1:4" s="39" customFormat="1">
      <c r="A346" s="38">
        <v>346</v>
      </c>
      <c r="B346" s="44"/>
      <c r="C346" s="38" t="s">
        <v>20</v>
      </c>
    </row>
    <row r="347" spans="1:4" s="39" customFormat="1">
      <c r="A347" s="38">
        <v>347</v>
      </c>
      <c r="B347" s="44"/>
      <c r="C347" s="38" t="s">
        <v>21</v>
      </c>
    </row>
    <row r="348" spans="1:4" s="39" customFormat="1">
      <c r="A348" s="38">
        <v>348</v>
      </c>
      <c r="B348" s="44"/>
      <c r="C348" s="38" t="s">
        <v>22</v>
      </c>
    </row>
    <row r="349" spans="1:4" s="39" customFormat="1">
      <c r="A349" s="38">
        <v>349</v>
      </c>
      <c r="B349" s="44"/>
      <c r="C349" s="38" t="s">
        <v>23</v>
      </c>
    </row>
    <row r="350" spans="1:4" s="39" customFormat="1">
      <c r="A350" s="38">
        <v>350</v>
      </c>
      <c r="B350" s="44"/>
      <c r="C350" s="38" t="s">
        <v>24</v>
      </c>
    </row>
    <row r="351" spans="1:4" s="39" customFormat="1">
      <c r="A351" s="38">
        <v>351</v>
      </c>
      <c r="B351" s="44"/>
      <c r="C351" s="38" t="s">
        <v>38</v>
      </c>
    </row>
    <row r="352" spans="1:4" s="39" customFormat="1">
      <c r="A352" s="38">
        <v>352</v>
      </c>
      <c r="B352" s="44"/>
      <c r="C352" s="38" t="s">
        <v>39</v>
      </c>
    </row>
    <row r="353" spans="1:4" s="39" customFormat="1">
      <c r="A353" s="38">
        <v>353</v>
      </c>
      <c r="B353" s="44"/>
      <c r="C353" s="38" t="s">
        <v>344</v>
      </c>
    </row>
    <row r="354" spans="1:4" s="39" customFormat="1">
      <c r="A354" s="38">
        <v>354</v>
      </c>
      <c r="B354" s="44"/>
      <c r="C354" s="38" t="s">
        <v>8</v>
      </c>
    </row>
    <row r="355" spans="1:4" s="39" customFormat="1" ht="14.25" thickBot="1">
      <c r="A355" s="38">
        <v>355</v>
      </c>
      <c r="B355" s="46"/>
      <c r="C355" s="50" t="s">
        <v>8</v>
      </c>
    </row>
    <row r="356" spans="1:4" s="39" customFormat="1">
      <c r="A356" s="38">
        <v>356</v>
      </c>
      <c r="B356" s="45"/>
      <c r="C356" s="40" t="s">
        <v>15</v>
      </c>
      <c r="D356" s="39" t="s">
        <v>37</v>
      </c>
    </row>
    <row r="357" spans="1:4" s="39" customFormat="1">
      <c r="A357" s="38">
        <v>357</v>
      </c>
      <c r="B357" s="44"/>
      <c r="C357" s="38" t="s">
        <v>16</v>
      </c>
    </row>
    <row r="358" spans="1:4" s="39" customFormat="1">
      <c r="A358" s="38">
        <v>358</v>
      </c>
      <c r="B358" s="44"/>
      <c r="C358" s="38" t="s">
        <v>17</v>
      </c>
    </row>
    <row r="359" spans="1:4" s="39" customFormat="1">
      <c r="A359" s="38">
        <v>359</v>
      </c>
      <c r="B359" s="44"/>
      <c r="C359" s="38" t="s">
        <v>18</v>
      </c>
    </row>
    <row r="360" spans="1:4" s="39" customFormat="1">
      <c r="A360" s="38">
        <v>360</v>
      </c>
      <c r="B360" s="44"/>
      <c r="C360" s="38" t="s">
        <v>19</v>
      </c>
    </row>
    <row r="361" spans="1:4" s="39" customFormat="1">
      <c r="A361" s="38">
        <v>361</v>
      </c>
      <c r="B361" s="44"/>
      <c r="C361" s="38" t="s">
        <v>20</v>
      </c>
    </row>
    <row r="362" spans="1:4" s="39" customFormat="1">
      <c r="A362" s="38">
        <v>362</v>
      </c>
      <c r="B362" s="44"/>
      <c r="C362" s="38" t="s">
        <v>21</v>
      </c>
    </row>
    <row r="363" spans="1:4" s="39" customFormat="1">
      <c r="A363" s="38">
        <v>363</v>
      </c>
      <c r="B363" s="44"/>
      <c r="C363" s="38" t="s">
        <v>22</v>
      </c>
    </row>
    <row r="364" spans="1:4" s="39" customFormat="1">
      <c r="A364" s="38">
        <v>364</v>
      </c>
      <c r="B364" s="44"/>
      <c r="C364" s="38" t="s">
        <v>23</v>
      </c>
    </row>
    <row r="365" spans="1:4" s="39" customFormat="1">
      <c r="A365" s="38">
        <v>365</v>
      </c>
      <c r="B365" s="44"/>
      <c r="C365" s="38" t="s">
        <v>24</v>
      </c>
    </row>
    <row r="366" spans="1:4" s="39" customFormat="1">
      <c r="A366" s="38">
        <v>366</v>
      </c>
      <c r="B366" s="44"/>
      <c r="C366" s="38" t="s">
        <v>38</v>
      </c>
    </row>
    <row r="367" spans="1:4" s="39" customFormat="1">
      <c r="A367" s="38">
        <v>367</v>
      </c>
      <c r="B367" s="44"/>
      <c r="C367" s="38" t="s">
        <v>39</v>
      </c>
    </row>
    <row r="368" spans="1:4" s="39" customFormat="1">
      <c r="A368" s="38">
        <v>368</v>
      </c>
      <c r="B368" s="44"/>
      <c r="C368" s="38" t="s">
        <v>344</v>
      </c>
    </row>
    <row r="369" spans="1:4" s="39" customFormat="1">
      <c r="A369" s="38">
        <v>369</v>
      </c>
      <c r="B369" s="44"/>
      <c r="C369" s="38" t="s">
        <v>8</v>
      </c>
    </row>
    <row r="370" spans="1:4" s="39" customFormat="1" ht="14.25" thickBot="1">
      <c r="A370" s="38">
        <v>370</v>
      </c>
      <c r="B370" s="46"/>
      <c r="C370" s="50" t="s">
        <v>8</v>
      </c>
    </row>
    <row r="371" spans="1:4" s="39" customFormat="1">
      <c r="A371" s="38">
        <v>371</v>
      </c>
      <c r="B371" s="45"/>
      <c r="C371" s="40" t="s">
        <v>15</v>
      </c>
      <c r="D371" s="39" t="s">
        <v>359</v>
      </c>
    </row>
    <row r="372" spans="1:4" s="39" customFormat="1">
      <c r="A372" s="38">
        <v>372</v>
      </c>
      <c r="B372" s="44"/>
      <c r="C372" s="38" t="s">
        <v>16</v>
      </c>
    </row>
    <row r="373" spans="1:4" s="39" customFormat="1">
      <c r="A373" s="38">
        <v>373</v>
      </c>
      <c r="B373" s="44"/>
      <c r="C373" s="38" t="s">
        <v>17</v>
      </c>
    </row>
    <row r="374" spans="1:4" s="39" customFormat="1">
      <c r="A374" s="38">
        <v>374</v>
      </c>
      <c r="B374" s="44"/>
      <c r="C374" s="38" t="s">
        <v>18</v>
      </c>
    </row>
    <row r="375" spans="1:4" s="39" customFormat="1">
      <c r="A375" s="38">
        <v>375</v>
      </c>
      <c r="B375" s="44"/>
      <c r="C375" s="38" t="s">
        <v>19</v>
      </c>
    </row>
    <row r="376" spans="1:4" s="39" customFormat="1">
      <c r="A376" s="38">
        <v>376</v>
      </c>
      <c r="B376" s="44"/>
      <c r="C376" s="38" t="s">
        <v>20</v>
      </c>
    </row>
    <row r="377" spans="1:4" s="39" customFormat="1">
      <c r="A377" s="38">
        <v>377</v>
      </c>
      <c r="B377" s="44"/>
      <c r="C377" s="38" t="s">
        <v>21</v>
      </c>
    </row>
    <row r="378" spans="1:4" s="39" customFormat="1">
      <c r="A378" s="38">
        <v>378</v>
      </c>
      <c r="B378" s="44"/>
      <c r="C378" s="38" t="s">
        <v>22</v>
      </c>
    </row>
    <row r="379" spans="1:4" s="39" customFormat="1">
      <c r="A379" s="38">
        <v>379</v>
      </c>
      <c r="B379" s="44"/>
      <c r="C379" s="38" t="s">
        <v>23</v>
      </c>
    </row>
    <row r="380" spans="1:4" s="39" customFormat="1">
      <c r="A380" s="38">
        <v>380</v>
      </c>
      <c r="B380" s="44"/>
      <c r="C380" s="38" t="s">
        <v>24</v>
      </c>
    </row>
    <row r="381" spans="1:4" s="39" customFormat="1">
      <c r="A381" s="38">
        <v>381</v>
      </c>
      <c r="B381" s="44"/>
      <c r="C381" s="38" t="s">
        <v>38</v>
      </c>
    </row>
    <row r="382" spans="1:4" s="39" customFormat="1">
      <c r="A382" s="38">
        <v>382</v>
      </c>
      <c r="B382" s="44"/>
      <c r="C382" s="38" t="s">
        <v>39</v>
      </c>
    </row>
    <row r="383" spans="1:4" s="39" customFormat="1">
      <c r="A383" s="38">
        <v>383</v>
      </c>
      <c r="B383" s="44"/>
      <c r="C383" s="38" t="s">
        <v>344</v>
      </c>
    </row>
    <row r="384" spans="1:4" s="39" customFormat="1">
      <c r="A384" s="38">
        <v>384</v>
      </c>
      <c r="B384" s="44"/>
      <c r="C384" s="38" t="s">
        <v>8</v>
      </c>
    </row>
    <row r="385" spans="1:4" s="39" customFormat="1" ht="14.25" thickBot="1">
      <c r="A385" s="38">
        <v>385</v>
      </c>
      <c r="B385" s="46"/>
      <c r="C385" s="50" t="s">
        <v>8</v>
      </c>
    </row>
    <row r="386" spans="1:4" s="39" customFormat="1">
      <c r="A386" s="38">
        <v>386</v>
      </c>
      <c r="B386" s="45"/>
      <c r="C386" s="40" t="s">
        <v>15</v>
      </c>
      <c r="D386" s="39" t="s">
        <v>360</v>
      </c>
    </row>
    <row r="387" spans="1:4" s="39" customFormat="1">
      <c r="A387" s="38">
        <v>387</v>
      </c>
      <c r="B387" s="44"/>
      <c r="C387" s="38" t="s">
        <v>16</v>
      </c>
    </row>
    <row r="388" spans="1:4" s="39" customFormat="1">
      <c r="A388" s="38">
        <v>388</v>
      </c>
      <c r="B388" s="44"/>
      <c r="C388" s="38" t="s">
        <v>17</v>
      </c>
    </row>
    <row r="389" spans="1:4" s="39" customFormat="1">
      <c r="A389" s="38">
        <v>389</v>
      </c>
      <c r="B389" s="44"/>
      <c r="C389" s="38" t="s">
        <v>18</v>
      </c>
    </row>
    <row r="390" spans="1:4" s="39" customFormat="1">
      <c r="A390" s="38">
        <v>390</v>
      </c>
      <c r="B390" s="44"/>
      <c r="C390" s="38" t="s">
        <v>19</v>
      </c>
    </row>
    <row r="391" spans="1:4" s="39" customFormat="1">
      <c r="A391" s="38">
        <v>391</v>
      </c>
      <c r="B391" s="44"/>
      <c r="C391" s="38" t="s">
        <v>20</v>
      </c>
    </row>
    <row r="392" spans="1:4" s="39" customFormat="1">
      <c r="A392" s="38">
        <v>392</v>
      </c>
      <c r="B392" s="44"/>
      <c r="C392" s="38" t="s">
        <v>21</v>
      </c>
    </row>
    <row r="393" spans="1:4" s="39" customFormat="1">
      <c r="A393" s="38">
        <v>393</v>
      </c>
      <c r="B393" s="44"/>
      <c r="C393" s="38" t="s">
        <v>22</v>
      </c>
    </row>
    <row r="394" spans="1:4" s="39" customFormat="1">
      <c r="A394" s="38">
        <v>394</v>
      </c>
      <c r="B394" s="44"/>
      <c r="C394" s="38" t="s">
        <v>23</v>
      </c>
    </row>
    <row r="395" spans="1:4" s="39" customFormat="1">
      <c r="A395" s="38">
        <v>395</v>
      </c>
      <c r="B395" s="44"/>
      <c r="C395" s="38" t="s">
        <v>24</v>
      </c>
    </row>
    <row r="396" spans="1:4" s="39" customFormat="1">
      <c r="A396" s="38">
        <v>396</v>
      </c>
      <c r="B396" s="44"/>
      <c r="C396" s="38" t="s">
        <v>38</v>
      </c>
    </row>
    <row r="397" spans="1:4" s="39" customFormat="1">
      <c r="A397" s="38">
        <v>397</v>
      </c>
      <c r="B397" s="44"/>
      <c r="C397" s="38" t="s">
        <v>39</v>
      </c>
    </row>
    <row r="398" spans="1:4" s="39" customFormat="1">
      <c r="A398" s="38">
        <v>398</v>
      </c>
      <c r="B398" s="44"/>
      <c r="C398" s="38" t="s">
        <v>344</v>
      </c>
    </row>
    <row r="399" spans="1:4" s="39" customFormat="1">
      <c r="A399" s="38">
        <v>399</v>
      </c>
      <c r="B399" s="44"/>
      <c r="C399" s="38" t="s">
        <v>8</v>
      </c>
    </row>
    <row r="400" spans="1:4" s="39" customFormat="1" ht="14.25" thickBot="1">
      <c r="A400" s="38">
        <v>400</v>
      </c>
      <c r="B400" s="46"/>
      <c r="C400" s="50" t="s">
        <v>8</v>
      </c>
    </row>
    <row r="401" spans="1:4" s="39" customFormat="1">
      <c r="A401" s="38">
        <v>401</v>
      </c>
      <c r="B401" s="45"/>
      <c r="C401" s="40" t="s">
        <v>15</v>
      </c>
      <c r="D401" s="39" t="s">
        <v>361</v>
      </c>
    </row>
    <row r="402" spans="1:4" s="39" customFormat="1">
      <c r="A402" s="38">
        <v>402</v>
      </c>
      <c r="B402" s="44"/>
      <c r="C402" s="38" t="s">
        <v>16</v>
      </c>
    </row>
    <row r="403" spans="1:4" s="39" customFormat="1">
      <c r="A403" s="38">
        <v>403</v>
      </c>
      <c r="B403" s="44"/>
      <c r="C403" s="38" t="s">
        <v>17</v>
      </c>
    </row>
    <row r="404" spans="1:4" s="39" customFormat="1">
      <c r="A404" s="38">
        <v>404</v>
      </c>
      <c r="B404" s="44"/>
      <c r="C404" s="38" t="s">
        <v>18</v>
      </c>
    </row>
    <row r="405" spans="1:4" s="39" customFormat="1">
      <c r="A405" s="38">
        <v>405</v>
      </c>
      <c r="B405" s="44"/>
      <c r="C405" s="38" t="s">
        <v>19</v>
      </c>
    </row>
    <row r="406" spans="1:4" s="39" customFormat="1">
      <c r="A406" s="38">
        <v>406</v>
      </c>
      <c r="B406" s="44"/>
      <c r="C406" s="38" t="s">
        <v>20</v>
      </c>
    </row>
    <row r="407" spans="1:4" s="39" customFormat="1">
      <c r="A407" s="38">
        <v>407</v>
      </c>
      <c r="B407" s="44"/>
      <c r="C407" s="38" t="s">
        <v>21</v>
      </c>
    </row>
    <row r="408" spans="1:4" s="39" customFormat="1">
      <c r="A408" s="38">
        <v>408</v>
      </c>
      <c r="B408" s="44"/>
      <c r="C408" s="38" t="s">
        <v>22</v>
      </c>
    </row>
    <row r="409" spans="1:4" s="39" customFormat="1">
      <c r="A409" s="38">
        <v>409</v>
      </c>
      <c r="B409" s="44"/>
      <c r="C409" s="38" t="s">
        <v>23</v>
      </c>
    </row>
    <row r="410" spans="1:4" s="39" customFormat="1">
      <c r="A410" s="38">
        <v>410</v>
      </c>
      <c r="B410" s="44"/>
      <c r="C410" s="38" t="s">
        <v>24</v>
      </c>
    </row>
    <row r="411" spans="1:4" s="39" customFormat="1">
      <c r="A411" s="38">
        <v>411</v>
      </c>
      <c r="B411" s="44"/>
      <c r="C411" s="38" t="s">
        <v>38</v>
      </c>
    </row>
    <row r="412" spans="1:4" s="39" customFormat="1">
      <c r="A412" s="38">
        <v>412</v>
      </c>
      <c r="B412" s="44"/>
      <c r="C412" s="38" t="s">
        <v>39</v>
      </c>
    </row>
    <row r="413" spans="1:4" s="39" customFormat="1">
      <c r="A413" s="38">
        <v>413</v>
      </c>
      <c r="B413" s="44"/>
      <c r="C413" s="38" t="s">
        <v>344</v>
      </c>
    </row>
    <row r="414" spans="1:4" s="39" customFormat="1">
      <c r="A414" s="38">
        <v>414</v>
      </c>
      <c r="B414" s="44"/>
      <c r="C414" s="38" t="s">
        <v>8</v>
      </c>
    </row>
    <row r="415" spans="1:4" s="39" customFormat="1" ht="14.25" thickBot="1">
      <c r="A415" s="38">
        <v>415</v>
      </c>
      <c r="B415" s="46"/>
      <c r="C415" s="50" t="s">
        <v>8</v>
      </c>
    </row>
    <row r="416" spans="1:4" s="39" customFormat="1">
      <c r="A416" s="38">
        <v>416</v>
      </c>
      <c r="B416" s="45"/>
      <c r="C416" s="40" t="s">
        <v>15</v>
      </c>
      <c r="D416" s="39" t="s">
        <v>362</v>
      </c>
    </row>
    <row r="417" spans="1:4" s="39" customFormat="1">
      <c r="A417" s="38">
        <v>417</v>
      </c>
      <c r="B417" s="44"/>
      <c r="C417" s="38" t="s">
        <v>16</v>
      </c>
    </row>
    <row r="418" spans="1:4" s="39" customFormat="1">
      <c r="A418" s="38">
        <v>418</v>
      </c>
      <c r="B418" s="44"/>
      <c r="C418" s="38" t="s">
        <v>17</v>
      </c>
    </row>
    <row r="419" spans="1:4" s="39" customFormat="1">
      <c r="A419" s="38">
        <v>419</v>
      </c>
      <c r="B419" s="44"/>
      <c r="C419" s="38" t="s">
        <v>18</v>
      </c>
    </row>
    <row r="420" spans="1:4" s="39" customFormat="1">
      <c r="A420" s="38">
        <v>420</v>
      </c>
      <c r="B420" s="44"/>
      <c r="C420" s="38" t="s">
        <v>19</v>
      </c>
    </row>
    <row r="421" spans="1:4" s="39" customFormat="1">
      <c r="A421" s="38">
        <v>421</v>
      </c>
      <c r="B421" s="44"/>
      <c r="C421" s="38" t="s">
        <v>20</v>
      </c>
    </row>
    <row r="422" spans="1:4" s="39" customFormat="1">
      <c r="A422" s="38">
        <v>422</v>
      </c>
      <c r="B422" s="44"/>
      <c r="C422" s="38" t="s">
        <v>21</v>
      </c>
    </row>
    <row r="423" spans="1:4" s="39" customFormat="1">
      <c r="A423" s="38">
        <v>423</v>
      </c>
      <c r="B423" s="44"/>
      <c r="C423" s="38" t="s">
        <v>22</v>
      </c>
    </row>
    <row r="424" spans="1:4" s="39" customFormat="1">
      <c r="A424" s="38">
        <v>424</v>
      </c>
      <c r="B424" s="44"/>
      <c r="C424" s="38" t="s">
        <v>23</v>
      </c>
    </row>
    <row r="425" spans="1:4" s="39" customFormat="1">
      <c r="A425" s="38">
        <v>425</v>
      </c>
      <c r="B425" s="44"/>
      <c r="C425" s="38" t="s">
        <v>24</v>
      </c>
    </row>
    <row r="426" spans="1:4" s="39" customFormat="1">
      <c r="A426" s="38">
        <v>426</v>
      </c>
      <c r="B426" s="44"/>
      <c r="C426" s="38" t="s">
        <v>38</v>
      </c>
    </row>
    <row r="427" spans="1:4" s="39" customFormat="1">
      <c r="A427" s="38">
        <v>427</v>
      </c>
      <c r="B427" s="44"/>
      <c r="C427" s="38" t="s">
        <v>39</v>
      </c>
    </row>
    <row r="428" spans="1:4" s="39" customFormat="1">
      <c r="A428" s="38">
        <v>428</v>
      </c>
      <c r="B428" s="44"/>
      <c r="C428" s="38" t="s">
        <v>344</v>
      </c>
    </row>
    <row r="429" spans="1:4" s="39" customFormat="1">
      <c r="A429" s="38">
        <v>429</v>
      </c>
      <c r="B429" s="44"/>
      <c r="C429" s="38" t="s">
        <v>8</v>
      </c>
    </row>
    <row r="430" spans="1:4" s="39" customFormat="1" ht="14.25" thickBot="1">
      <c r="A430" s="38">
        <v>430</v>
      </c>
      <c r="B430" s="46"/>
      <c r="C430" s="50" t="s">
        <v>8</v>
      </c>
    </row>
    <row r="431" spans="1:4" s="39" customFormat="1">
      <c r="A431" s="38">
        <v>431</v>
      </c>
      <c r="B431" s="45"/>
      <c r="C431" s="40" t="s">
        <v>15</v>
      </c>
      <c r="D431" s="39" t="s">
        <v>363</v>
      </c>
    </row>
    <row r="432" spans="1:4" s="39" customFormat="1">
      <c r="A432" s="38">
        <v>432</v>
      </c>
      <c r="B432" s="44"/>
      <c r="C432" s="38" t="s">
        <v>16</v>
      </c>
    </row>
    <row r="433" spans="1:4" s="39" customFormat="1">
      <c r="A433" s="38">
        <v>433</v>
      </c>
      <c r="B433" s="44"/>
      <c r="C433" s="38" t="s">
        <v>17</v>
      </c>
    </row>
    <row r="434" spans="1:4" s="39" customFormat="1">
      <c r="A434" s="38">
        <v>434</v>
      </c>
      <c r="B434" s="44"/>
      <c r="C434" s="38" t="s">
        <v>18</v>
      </c>
    </row>
    <row r="435" spans="1:4" s="39" customFormat="1">
      <c r="A435" s="38">
        <v>435</v>
      </c>
      <c r="B435" s="44"/>
      <c r="C435" s="38" t="s">
        <v>19</v>
      </c>
    </row>
    <row r="436" spans="1:4" s="39" customFormat="1">
      <c r="A436" s="38">
        <v>436</v>
      </c>
      <c r="B436" s="44"/>
      <c r="C436" s="38" t="s">
        <v>20</v>
      </c>
    </row>
    <row r="437" spans="1:4" s="39" customFormat="1">
      <c r="A437" s="38">
        <v>437</v>
      </c>
      <c r="B437" s="44"/>
      <c r="C437" s="38" t="s">
        <v>21</v>
      </c>
    </row>
    <row r="438" spans="1:4" s="39" customFormat="1">
      <c r="A438" s="38">
        <v>438</v>
      </c>
      <c r="B438" s="44"/>
      <c r="C438" s="38" t="s">
        <v>22</v>
      </c>
    </row>
    <row r="439" spans="1:4" s="39" customFormat="1">
      <c r="A439" s="38">
        <v>439</v>
      </c>
      <c r="B439" s="44"/>
      <c r="C439" s="38" t="s">
        <v>23</v>
      </c>
    </row>
    <row r="440" spans="1:4" s="39" customFormat="1">
      <c r="A440" s="38">
        <v>440</v>
      </c>
      <c r="B440" s="44"/>
      <c r="C440" s="38" t="s">
        <v>24</v>
      </c>
    </row>
    <row r="441" spans="1:4" s="39" customFormat="1">
      <c r="A441" s="38">
        <v>441</v>
      </c>
      <c r="B441" s="44"/>
      <c r="C441" s="38" t="s">
        <v>38</v>
      </c>
    </row>
    <row r="442" spans="1:4" s="39" customFormat="1">
      <c r="A442" s="38">
        <v>442</v>
      </c>
      <c r="B442" s="44"/>
      <c r="C442" s="38" t="s">
        <v>39</v>
      </c>
    </row>
    <row r="443" spans="1:4" s="39" customFormat="1">
      <c r="A443" s="38">
        <v>443</v>
      </c>
      <c r="B443" s="44"/>
      <c r="C443" s="38" t="s">
        <v>344</v>
      </c>
    </row>
    <row r="444" spans="1:4" s="39" customFormat="1">
      <c r="A444" s="38">
        <v>444</v>
      </c>
      <c r="B444" s="44"/>
      <c r="C444" s="38" t="s">
        <v>8</v>
      </c>
    </row>
    <row r="445" spans="1:4" s="39" customFormat="1" ht="14.25" thickBot="1">
      <c r="A445" s="38">
        <v>445</v>
      </c>
      <c r="B445" s="46"/>
      <c r="C445" s="50" t="s">
        <v>8</v>
      </c>
    </row>
    <row r="446" spans="1:4" s="48" customFormat="1">
      <c r="A446" s="38">
        <v>446</v>
      </c>
      <c r="B446" s="48">
        <v>39</v>
      </c>
      <c r="C446" s="47" t="s">
        <v>15</v>
      </c>
      <c r="D446" s="48" t="s">
        <v>333</v>
      </c>
    </row>
    <row r="447" spans="1:4" s="48" customFormat="1">
      <c r="A447" s="38">
        <v>447</v>
      </c>
      <c r="B447" s="48">
        <v>39</v>
      </c>
      <c r="C447" s="47" t="s">
        <v>16</v>
      </c>
    </row>
    <row r="448" spans="1:4" s="48" customFormat="1">
      <c r="A448" s="38">
        <v>448</v>
      </c>
      <c r="B448" s="48">
        <v>39</v>
      </c>
      <c r="C448" s="47" t="s">
        <v>17</v>
      </c>
    </row>
    <row r="449" spans="1:4" s="48" customFormat="1">
      <c r="A449" s="38">
        <v>449</v>
      </c>
      <c r="B449" s="48">
        <v>39</v>
      </c>
      <c r="C449" s="47" t="s">
        <v>18</v>
      </c>
    </row>
    <row r="450" spans="1:4" s="48" customFormat="1">
      <c r="A450" s="38">
        <v>450</v>
      </c>
      <c r="B450" s="48">
        <v>39</v>
      </c>
      <c r="C450" s="47" t="s">
        <v>19</v>
      </c>
    </row>
    <row r="451" spans="1:4" s="48" customFormat="1">
      <c r="A451" s="38">
        <v>451</v>
      </c>
      <c r="B451" s="48">
        <v>40</v>
      </c>
      <c r="C451" s="47" t="s">
        <v>20</v>
      </c>
    </row>
    <row r="452" spans="1:4" s="48" customFormat="1">
      <c r="A452" s="38">
        <v>452</v>
      </c>
      <c r="B452" s="48">
        <v>40</v>
      </c>
      <c r="C452" s="47" t="s">
        <v>21</v>
      </c>
    </row>
    <row r="453" spans="1:4" s="48" customFormat="1">
      <c r="A453" s="38">
        <v>453</v>
      </c>
      <c r="B453" s="48">
        <v>40</v>
      </c>
      <c r="C453" s="47" t="s">
        <v>22</v>
      </c>
    </row>
    <row r="454" spans="1:4" s="48" customFormat="1">
      <c r="A454" s="38">
        <v>454</v>
      </c>
      <c r="B454" s="48">
        <v>40</v>
      </c>
      <c r="C454" s="47" t="s">
        <v>23</v>
      </c>
    </row>
    <row r="455" spans="1:4" s="48" customFormat="1">
      <c r="A455" s="38">
        <v>455</v>
      </c>
      <c r="B455" s="48">
        <v>40</v>
      </c>
      <c r="C455" s="47" t="s">
        <v>24</v>
      </c>
    </row>
    <row r="456" spans="1:4" s="48" customFormat="1">
      <c r="A456" s="38">
        <v>456</v>
      </c>
      <c r="B456" s="48" t="s">
        <v>549</v>
      </c>
      <c r="C456" s="47" t="s">
        <v>14</v>
      </c>
    </row>
    <row r="457" spans="1:4" s="48" customFormat="1">
      <c r="A457" s="38">
        <v>457</v>
      </c>
      <c r="B457" s="48" t="s">
        <v>545</v>
      </c>
      <c r="C457" s="47" t="s">
        <v>38</v>
      </c>
    </row>
    <row r="458" spans="1:4" s="48" customFormat="1">
      <c r="A458" s="38">
        <v>458</v>
      </c>
      <c r="B458" s="48" t="s">
        <v>535</v>
      </c>
      <c r="C458" s="47" t="s">
        <v>39</v>
      </c>
    </row>
    <row r="459" spans="1:4" s="48" customFormat="1">
      <c r="A459" s="38">
        <v>459</v>
      </c>
      <c r="C459" s="47" t="s">
        <v>8</v>
      </c>
    </row>
    <row r="460" spans="1:4" s="48" customFormat="1" ht="14.25" thickBot="1">
      <c r="A460" s="38">
        <v>460</v>
      </c>
      <c r="B460" s="49"/>
      <c r="C460" s="47" t="s">
        <v>8</v>
      </c>
    </row>
    <row r="461" spans="1:4" s="48" customFormat="1">
      <c r="A461" s="38">
        <v>461</v>
      </c>
      <c r="B461" s="48">
        <v>8.99</v>
      </c>
      <c r="C461" s="47" t="s">
        <v>15</v>
      </c>
      <c r="D461" s="48" t="s">
        <v>334</v>
      </c>
    </row>
    <row r="462" spans="1:4" s="48" customFormat="1">
      <c r="A462" s="38">
        <v>462</v>
      </c>
      <c r="B462" s="48">
        <v>8.99</v>
      </c>
      <c r="C462" s="47" t="s">
        <v>16</v>
      </c>
    </row>
    <row r="463" spans="1:4" s="48" customFormat="1">
      <c r="A463" s="38">
        <v>463</v>
      </c>
      <c r="B463" s="48">
        <v>8.98</v>
      </c>
      <c r="C463" s="47" t="s">
        <v>17</v>
      </c>
    </row>
    <row r="464" spans="1:4" s="48" customFormat="1">
      <c r="A464" s="38">
        <v>464</v>
      </c>
      <c r="B464" s="48">
        <v>8.99</v>
      </c>
      <c r="C464" s="47" t="s">
        <v>18</v>
      </c>
    </row>
    <row r="465" spans="1:4" s="48" customFormat="1">
      <c r="A465" s="38">
        <v>465</v>
      </c>
      <c r="B465" s="48">
        <v>8.98</v>
      </c>
      <c r="C465" s="47" t="s">
        <v>19</v>
      </c>
    </row>
    <row r="466" spans="1:4" s="48" customFormat="1">
      <c r="A466" s="38">
        <v>466</v>
      </c>
      <c r="B466" s="48">
        <v>8.99</v>
      </c>
      <c r="C466" s="47" t="s">
        <v>20</v>
      </c>
    </row>
    <row r="467" spans="1:4" s="48" customFormat="1">
      <c r="A467" s="38">
        <v>467</v>
      </c>
      <c r="B467" s="48">
        <v>8.99</v>
      </c>
      <c r="C467" s="47" t="s">
        <v>21</v>
      </c>
    </row>
    <row r="468" spans="1:4" s="48" customFormat="1">
      <c r="A468" s="38">
        <v>468</v>
      </c>
      <c r="B468" s="48">
        <v>8.98</v>
      </c>
      <c r="C468" s="47" t="s">
        <v>22</v>
      </c>
    </row>
    <row r="469" spans="1:4" s="48" customFormat="1">
      <c r="A469" s="38">
        <v>469</v>
      </c>
      <c r="B469" s="48">
        <v>8.98</v>
      </c>
      <c r="C469" s="47" t="s">
        <v>23</v>
      </c>
    </row>
    <row r="470" spans="1:4" s="48" customFormat="1">
      <c r="A470" s="38">
        <v>470</v>
      </c>
      <c r="B470" s="48">
        <v>8.98</v>
      </c>
      <c r="C470" s="47" t="s">
        <v>24</v>
      </c>
    </row>
    <row r="471" spans="1:4" s="48" customFormat="1">
      <c r="A471" s="38">
        <v>471</v>
      </c>
      <c r="B471" s="48" t="s">
        <v>549</v>
      </c>
      <c r="C471" s="47" t="s">
        <v>14</v>
      </c>
    </row>
    <row r="472" spans="1:4" s="48" customFormat="1">
      <c r="A472" s="38">
        <v>472</v>
      </c>
      <c r="B472" s="48" t="s">
        <v>547</v>
      </c>
      <c r="C472" s="47" t="s">
        <v>38</v>
      </c>
    </row>
    <row r="473" spans="1:4" s="48" customFormat="1">
      <c r="A473" s="38">
        <v>473</v>
      </c>
      <c r="B473" s="48" t="s">
        <v>535</v>
      </c>
      <c r="C473" s="47" t="s">
        <v>39</v>
      </c>
    </row>
    <row r="474" spans="1:4" s="48" customFormat="1">
      <c r="A474" s="38">
        <v>474</v>
      </c>
      <c r="C474" s="47" t="s">
        <v>8</v>
      </c>
    </row>
    <row r="475" spans="1:4" s="48" customFormat="1" ht="14.25" thickBot="1">
      <c r="A475" s="38">
        <v>475</v>
      </c>
      <c r="B475" s="49"/>
      <c r="C475" s="47" t="s">
        <v>8</v>
      </c>
    </row>
    <row r="476" spans="1:4" s="48" customFormat="1">
      <c r="A476" s="38">
        <v>476</v>
      </c>
      <c r="C476" s="47" t="s">
        <v>15</v>
      </c>
      <c r="D476" s="48" t="s">
        <v>335</v>
      </c>
    </row>
    <row r="477" spans="1:4" s="48" customFormat="1">
      <c r="A477" s="38">
        <v>477</v>
      </c>
      <c r="C477" s="47" t="s">
        <v>16</v>
      </c>
    </row>
    <row r="478" spans="1:4" s="48" customFormat="1">
      <c r="A478" s="38">
        <v>478</v>
      </c>
      <c r="C478" s="47" t="s">
        <v>17</v>
      </c>
    </row>
    <row r="479" spans="1:4" s="48" customFormat="1">
      <c r="A479" s="38">
        <v>479</v>
      </c>
      <c r="C479" s="47" t="s">
        <v>18</v>
      </c>
    </row>
    <row r="480" spans="1:4" s="48" customFormat="1">
      <c r="A480" s="38">
        <v>480</v>
      </c>
      <c r="C480" s="47" t="s">
        <v>19</v>
      </c>
    </row>
    <row r="481" spans="1:4" s="48" customFormat="1">
      <c r="A481" s="38">
        <v>481</v>
      </c>
      <c r="C481" s="47" t="s">
        <v>20</v>
      </c>
    </row>
    <row r="482" spans="1:4" s="48" customFormat="1">
      <c r="A482" s="38">
        <v>482</v>
      </c>
      <c r="C482" s="47" t="s">
        <v>21</v>
      </c>
    </row>
    <row r="483" spans="1:4" s="48" customFormat="1">
      <c r="A483" s="38">
        <v>483</v>
      </c>
      <c r="C483" s="47" t="s">
        <v>22</v>
      </c>
    </row>
    <row r="484" spans="1:4" s="48" customFormat="1">
      <c r="A484" s="38">
        <v>484</v>
      </c>
      <c r="C484" s="47" t="s">
        <v>23</v>
      </c>
    </row>
    <row r="485" spans="1:4" s="48" customFormat="1">
      <c r="A485" s="38">
        <v>485</v>
      </c>
      <c r="C485" s="47" t="s">
        <v>24</v>
      </c>
    </row>
    <row r="486" spans="1:4" s="48" customFormat="1">
      <c r="A486" s="38">
        <v>486</v>
      </c>
      <c r="C486" s="47" t="s">
        <v>14</v>
      </c>
    </row>
    <row r="487" spans="1:4" s="48" customFormat="1">
      <c r="A487" s="38">
        <v>487</v>
      </c>
      <c r="C487" s="47" t="s">
        <v>38</v>
      </c>
    </row>
    <row r="488" spans="1:4" s="48" customFormat="1">
      <c r="A488" s="38">
        <v>488</v>
      </c>
      <c r="C488" s="47" t="s">
        <v>39</v>
      </c>
    </row>
    <row r="489" spans="1:4" s="48" customFormat="1">
      <c r="A489" s="38">
        <v>489</v>
      </c>
      <c r="C489" s="47" t="s">
        <v>8</v>
      </c>
    </row>
    <row r="490" spans="1:4" s="48" customFormat="1" ht="14.25" thickBot="1">
      <c r="A490" s="38">
        <v>490</v>
      </c>
      <c r="B490" s="49"/>
      <c r="C490" s="47" t="s">
        <v>8</v>
      </c>
    </row>
    <row r="491" spans="1:4" s="48" customFormat="1">
      <c r="A491" s="38">
        <v>491</v>
      </c>
      <c r="C491" s="47" t="s">
        <v>15</v>
      </c>
      <c r="D491" s="48" t="s">
        <v>336</v>
      </c>
    </row>
    <row r="492" spans="1:4" s="48" customFormat="1">
      <c r="A492" s="38">
        <v>492</v>
      </c>
      <c r="C492" s="47" t="s">
        <v>16</v>
      </c>
    </row>
    <row r="493" spans="1:4" s="48" customFormat="1">
      <c r="A493" s="38">
        <v>493</v>
      </c>
      <c r="C493" s="47" t="s">
        <v>17</v>
      </c>
    </row>
    <row r="494" spans="1:4" s="48" customFormat="1">
      <c r="A494" s="38">
        <v>494</v>
      </c>
      <c r="C494" s="47" t="s">
        <v>18</v>
      </c>
    </row>
    <row r="495" spans="1:4" s="48" customFormat="1">
      <c r="A495" s="38">
        <v>495</v>
      </c>
      <c r="C495" s="47" t="s">
        <v>19</v>
      </c>
    </row>
    <row r="496" spans="1:4" s="48" customFormat="1">
      <c r="A496" s="38">
        <v>496</v>
      </c>
      <c r="C496" s="47" t="s">
        <v>20</v>
      </c>
    </row>
    <row r="497" spans="1:4" s="48" customFormat="1">
      <c r="A497" s="38">
        <v>497</v>
      </c>
      <c r="C497" s="47" t="s">
        <v>21</v>
      </c>
    </row>
    <row r="498" spans="1:4" s="48" customFormat="1">
      <c r="A498" s="38">
        <v>498</v>
      </c>
      <c r="C498" s="47" t="s">
        <v>22</v>
      </c>
    </row>
    <row r="499" spans="1:4" s="48" customFormat="1">
      <c r="A499" s="38">
        <v>499</v>
      </c>
      <c r="C499" s="47" t="s">
        <v>23</v>
      </c>
    </row>
    <row r="500" spans="1:4" s="48" customFormat="1">
      <c r="A500" s="38">
        <v>500</v>
      </c>
      <c r="C500" s="47" t="s">
        <v>24</v>
      </c>
    </row>
    <row r="501" spans="1:4" s="48" customFormat="1">
      <c r="A501" s="38">
        <v>501</v>
      </c>
      <c r="C501" s="47" t="s">
        <v>14</v>
      </c>
    </row>
    <row r="502" spans="1:4" s="48" customFormat="1">
      <c r="A502" s="38">
        <v>502</v>
      </c>
      <c r="C502" s="47" t="s">
        <v>38</v>
      </c>
    </row>
    <row r="503" spans="1:4" s="48" customFormat="1">
      <c r="A503" s="38">
        <v>503</v>
      </c>
      <c r="C503" s="47" t="s">
        <v>39</v>
      </c>
    </row>
    <row r="504" spans="1:4" s="48" customFormat="1">
      <c r="A504" s="38">
        <v>504</v>
      </c>
      <c r="C504" s="47" t="s">
        <v>8</v>
      </c>
    </row>
    <row r="505" spans="1:4" s="48" customFormat="1" ht="14.25" thickBot="1">
      <c r="A505" s="38">
        <v>505</v>
      </c>
      <c r="B505" s="49"/>
      <c r="C505" s="47" t="s">
        <v>8</v>
      </c>
    </row>
    <row r="506" spans="1:4" s="48" customFormat="1">
      <c r="A506" s="38">
        <v>506</v>
      </c>
      <c r="C506" s="47" t="s">
        <v>15</v>
      </c>
      <c r="D506" s="48" t="s">
        <v>337</v>
      </c>
    </row>
    <row r="507" spans="1:4" s="48" customFormat="1">
      <c r="A507" s="38">
        <v>507</v>
      </c>
      <c r="C507" s="47" t="s">
        <v>16</v>
      </c>
    </row>
    <row r="508" spans="1:4" s="48" customFormat="1">
      <c r="A508" s="38">
        <v>508</v>
      </c>
      <c r="C508" s="47" t="s">
        <v>17</v>
      </c>
    </row>
    <row r="509" spans="1:4" s="48" customFormat="1">
      <c r="A509" s="38">
        <v>509</v>
      </c>
      <c r="C509" s="47" t="s">
        <v>18</v>
      </c>
    </row>
    <row r="510" spans="1:4" s="48" customFormat="1">
      <c r="A510" s="38">
        <v>510</v>
      </c>
      <c r="C510" s="47" t="s">
        <v>19</v>
      </c>
    </row>
    <row r="511" spans="1:4" s="48" customFormat="1">
      <c r="A511" s="38">
        <v>511</v>
      </c>
      <c r="C511" s="47" t="s">
        <v>20</v>
      </c>
    </row>
    <row r="512" spans="1:4" s="48" customFormat="1">
      <c r="A512" s="38">
        <v>512</v>
      </c>
      <c r="C512" s="47" t="s">
        <v>21</v>
      </c>
    </row>
    <row r="513" spans="1:4" s="48" customFormat="1">
      <c r="A513" s="38">
        <v>513</v>
      </c>
      <c r="C513" s="47" t="s">
        <v>22</v>
      </c>
    </row>
    <row r="514" spans="1:4" s="48" customFormat="1">
      <c r="A514" s="38">
        <v>514</v>
      </c>
      <c r="C514" s="47" t="s">
        <v>23</v>
      </c>
    </row>
    <row r="515" spans="1:4" s="48" customFormat="1">
      <c r="A515" s="38">
        <v>515</v>
      </c>
      <c r="C515" s="47" t="s">
        <v>24</v>
      </c>
    </row>
    <row r="516" spans="1:4" s="48" customFormat="1">
      <c r="A516" s="38">
        <v>516</v>
      </c>
      <c r="C516" s="47" t="s">
        <v>14</v>
      </c>
    </row>
    <row r="517" spans="1:4" s="48" customFormat="1">
      <c r="A517" s="38">
        <v>517</v>
      </c>
      <c r="C517" s="47" t="s">
        <v>38</v>
      </c>
    </row>
    <row r="518" spans="1:4" s="48" customFormat="1">
      <c r="A518" s="38">
        <v>518</v>
      </c>
      <c r="C518" s="47" t="s">
        <v>39</v>
      </c>
    </row>
    <row r="519" spans="1:4" s="48" customFormat="1">
      <c r="A519" s="38">
        <v>519</v>
      </c>
      <c r="C519" s="47" t="s">
        <v>8</v>
      </c>
    </row>
    <row r="520" spans="1:4" s="48" customFormat="1" ht="14.25" thickBot="1">
      <c r="A520" s="38">
        <v>520</v>
      </c>
      <c r="B520" s="49"/>
      <c r="C520" s="47" t="s">
        <v>8</v>
      </c>
    </row>
    <row r="521" spans="1:4" s="1" customFormat="1">
      <c r="A521" s="38">
        <v>521</v>
      </c>
      <c r="B521" s="1" t="s">
        <v>345</v>
      </c>
      <c r="C521" s="41" t="s">
        <v>15</v>
      </c>
      <c r="D521" s="1" t="s">
        <v>206</v>
      </c>
    </row>
    <row r="522" spans="1:4" s="1" customFormat="1">
      <c r="A522" s="38">
        <v>522</v>
      </c>
      <c r="B522" s="1" t="s">
        <v>345</v>
      </c>
      <c r="C522" s="2" t="s">
        <v>16</v>
      </c>
    </row>
    <row r="523" spans="1:4" s="1" customFormat="1">
      <c r="A523" s="38">
        <v>523</v>
      </c>
      <c r="B523" s="1" t="s">
        <v>345</v>
      </c>
      <c r="C523" s="2" t="s">
        <v>17</v>
      </c>
    </row>
    <row r="524" spans="1:4" s="1" customFormat="1">
      <c r="A524" s="38">
        <v>524</v>
      </c>
      <c r="B524" s="1" t="s">
        <v>345</v>
      </c>
      <c r="C524" s="2" t="s">
        <v>18</v>
      </c>
    </row>
    <row r="525" spans="1:4" s="1" customFormat="1">
      <c r="A525" s="38">
        <v>525</v>
      </c>
      <c r="B525" s="1" t="s">
        <v>345</v>
      </c>
      <c r="C525" s="2" t="s">
        <v>19</v>
      </c>
    </row>
    <row r="526" spans="1:4" s="1" customFormat="1">
      <c r="A526" s="38">
        <v>526</v>
      </c>
      <c r="B526" s="1" t="s">
        <v>345</v>
      </c>
      <c r="C526" s="2" t="s">
        <v>20</v>
      </c>
    </row>
    <row r="527" spans="1:4" s="1" customFormat="1">
      <c r="A527" s="38">
        <v>527</v>
      </c>
      <c r="B527" s="1" t="s">
        <v>345</v>
      </c>
      <c r="C527" s="2" t="s">
        <v>21</v>
      </c>
    </row>
    <row r="528" spans="1:4" s="1" customFormat="1">
      <c r="A528" s="38">
        <v>528</v>
      </c>
      <c r="B528" s="1" t="s">
        <v>345</v>
      </c>
      <c r="C528" s="2" t="s">
        <v>22</v>
      </c>
    </row>
    <row r="529" spans="1:4" s="1" customFormat="1">
      <c r="A529" s="38">
        <v>529</v>
      </c>
      <c r="B529" s="1" t="s">
        <v>345</v>
      </c>
      <c r="C529" s="2" t="s">
        <v>23</v>
      </c>
    </row>
    <row r="530" spans="1:4" s="1" customFormat="1">
      <c r="A530" s="38">
        <v>530</v>
      </c>
      <c r="B530" s="1" t="s">
        <v>345</v>
      </c>
      <c r="C530" s="2" t="s">
        <v>24</v>
      </c>
    </row>
    <row r="531" spans="1:4" s="1" customFormat="1">
      <c r="A531" s="38">
        <v>531</v>
      </c>
      <c r="B531" s="1" t="s">
        <v>550</v>
      </c>
      <c r="C531" s="2" t="s">
        <v>205</v>
      </c>
    </row>
    <row r="532" spans="1:4" s="1" customFormat="1">
      <c r="A532" s="38">
        <v>532</v>
      </c>
      <c r="C532" s="2" t="s">
        <v>8</v>
      </c>
    </row>
    <row r="533" spans="1:4" s="1" customFormat="1">
      <c r="A533" s="38">
        <v>533</v>
      </c>
      <c r="C533" s="2" t="s">
        <v>8</v>
      </c>
    </row>
    <row r="534" spans="1:4" s="1" customFormat="1">
      <c r="A534" s="38">
        <v>534</v>
      </c>
      <c r="C534" s="2" t="s">
        <v>8</v>
      </c>
    </row>
    <row r="535" spans="1:4" s="1" customFormat="1" ht="14.25" thickBot="1">
      <c r="A535" s="38">
        <v>535</v>
      </c>
      <c r="B535" s="42"/>
      <c r="C535" s="43" t="s">
        <v>8</v>
      </c>
    </row>
    <row r="536" spans="1:4" s="1" customFormat="1">
      <c r="A536" s="38">
        <v>536</v>
      </c>
      <c r="B536" s="1" t="s">
        <v>345</v>
      </c>
      <c r="C536" s="41" t="s">
        <v>15</v>
      </c>
      <c r="D536" s="1" t="s">
        <v>207</v>
      </c>
    </row>
    <row r="537" spans="1:4" s="1" customFormat="1">
      <c r="A537" s="38">
        <v>537</v>
      </c>
      <c r="B537" s="1" t="s">
        <v>345</v>
      </c>
      <c r="C537" s="2" t="s">
        <v>16</v>
      </c>
    </row>
    <row r="538" spans="1:4" s="1" customFormat="1">
      <c r="A538" s="38">
        <v>538</v>
      </c>
      <c r="B538" s="1" t="s">
        <v>345</v>
      </c>
      <c r="C538" s="2" t="s">
        <v>17</v>
      </c>
    </row>
    <row r="539" spans="1:4" s="1" customFormat="1">
      <c r="A539" s="38">
        <v>539</v>
      </c>
      <c r="B539" s="1" t="s">
        <v>345</v>
      </c>
      <c r="C539" s="2" t="s">
        <v>18</v>
      </c>
    </row>
    <row r="540" spans="1:4" s="1" customFormat="1">
      <c r="A540" s="38">
        <v>540</v>
      </c>
      <c r="B540" s="1" t="s">
        <v>345</v>
      </c>
      <c r="C540" s="2" t="s">
        <v>19</v>
      </c>
    </row>
    <row r="541" spans="1:4" s="1" customFormat="1">
      <c r="A541" s="38">
        <v>541</v>
      </c>
      <c r="B541" s="1" t="s">
        <v>345</v>
      </c>
      <c r="C541" s="2" t="s">
        <v>20</v>
      </c>
    </row>
    <row r="542" spans="1:4" s="1" customFormat="1">
      <c r="A542" s="38">
        <v>542</v>
      </c>
      <c r="B542" s="1" t="s">
        <v>345</v>
      </c>
      <c r="C542" s="2" t="s">
        <v>21</v>
      </c>
    </row>
    <row r="543" spans="1:4" s="1" customFormat="1">
      <c r="A543" s="38">
        <v>543</v>
      </c>
      <c r="B543" s="1" t="s">
        <v>345</v>
      </c>
      <c r="C543" s="2" t="s">
        <v>22</v>
      </c>
    </row>
    <row r="544" spans="1:4" s="1" customFormat="1">
      <c r="A544" s="38">
        <v>544</v>
      </c>
      <c r="B544" s="1" t="s">
        <v>345</v>
      </c>
      <c r="C544" s="2" t="s">
        <v>23</v>
      </c>
    </row>
    <row r="545" spans="1:4" s="1" customFormat="1">
      <c r="A545" s="38">
        <v>545</v>
      </c>
      <c r="B545" s="1" t="s">
        <v>345</v>
      </c>
      <c r="C545" s="2" t="s">
        <v>24</v>
      </c>
    </row>
    <row r="546" spans="1:4" s="1" customFormat="1">
      <c r="A546" s="38">
        <v>546</v>
      </c>
      <c r="B546" s="1" t="s">
        <v>551</v>
      </c>
      <c r="C546" s="2" t="s">
        <v>205</v>
      </c>
    </row>
    <row r="547" spans="1:4" s="1" customFormat="1">
      <c r="A547" s="38">
        <v>547</v>
      </c>
      <c r="C547" s="2" t="s">
        <v>8</v>
      </c>
    </row>
    <row r="548" spans="1:4" s="1" customFormat="1">
      <c r="A548" s="38">
        <v>548</v>
      </c>
      <c r="C548" s="2" t="s">
        <v>8</v>
      </c>
    </row>
    <row r="549" spans="1:4" s="1" customFormat="1">
      <c r="A549" s="38">
        <v>549</v>
      </c>
      <c r="C549" s="2" t="s">
        <v>8</v>
      </c>
    </row>
    <row r="550" spans="1:4" s="1" customFormat="1" ht="14.25" thickBot="1">
      <c r="A550" s="38">
        <v>550</v>
      </c>
      <c r="B550" s="42"/>
      <c r="C550" s="43" t="s">
        <v>8</v>
      </c>
    </row>
    <row r="551" spans="1:4" s="1" customFormat="1">
      <c r="A551" s="38">
        <v>551</v>
      </c>
      <c r="B551" s="1" t="s">
        <v>345</v>
      </c>
      <c r="C551" s="41" t="s">
        <v>15</v>
      </c>
      <c r="D551" s="1" t="s">
        <v>208</v>
      </c>
    </row>
    <row r="552" spans="1:4" s="1" customFormat="1">
      <c r="A552" s="38">
        <v>552</v>
      </c>
      <c r="B552" s="1" t="s">
        <v>345</v>
      </c>
      <c r="C552" s="2" t="s">
        <v>16</v>
      </c>
    </row>
    <row r="553" spans="1:4" s="1" customFormat="1">
      <c r="A553" s="38">
        <v>553</v>
      </c>
      <c r="B553" s="1" t="s">
        <v>345</v>
      </c>
      <c r="C553" s="2" t="s">
        <v>17</v>
      </c>
    </row>
    <row r="554" spans="1:4" s="1" customFormat="1">
      <c r="A554" s="38">
        <v>554</v>
      </c>
      <c r="B554" s="1" t="s">
        <v>345</v>
      </c>
      <c r="C554" s="2" t="s">
        <v>18</v>
      </c>
    </row>
    <row r="555" spans="1:4" s="1" customFormat="1">
      <c r="A555" s="38">
        <v>555</v>
      </c>
      <c r="B555" s="1" t="s">
        <v>345</v>
      </c>
      <c r="C555" s="2" t="s">
        <v>19</v>
      </c>
    </row>
    <row r="556" spans="1:4" s="1" customFormat="1">
      <c r="A556" s="38">
        <v>556</v>
      </c>
      <c r="B556" s="1" t="s">
        <v>345</v>
      </c>
      <c r="C556" s="2" t="s">
        <v>20</v>
      </c>
    </row>
    <row r="557" spans="1:4" s="1" customFormat="1">
      <c r="A557" s="38">
        <v>557</v>
      </c>
      <c r="B557" s="1" t="s">
        <v>345</v>
      </c>
      <c r="C557" s="2" t="s">
        <v>21</v>
      </c>
    </row>
    <row r="558" spans="1:4" s="1" customFormat="1">
      <c r="A558" s="38">
        <v>558</v>
      </c>
      <c r="B558" s="1" t="s">
        <v>345</v>
      </c>
      <c r="C558" s="2" t="s">
        <v>22</v>
      </c>
    </row>
    <row r="559" spans="1:4" s="1" customFormat="1">
      <c r="A559" s="38">
        <v>559</v>
      </c>
      <c r="B559" s="1" t="s">
        <v>345</v>
      </c>
      <c r="C559" s="2" t="s">
        <v>23</v>
      </c>
    </row>
    <row r="560" spans="1:4" s="1" customFormat="1">
      <c r="A560" s="38">
        <v>560</v>
      </c>
      <c r="B560" s="1" t="s">
        <v>345</v>
      </c>
      <c r="C560" s="2" t="s">
        <v>24</v>
      </c>
    </row>
    <row r="561" spans="1:4" s="1" customFormat="1">
      <c r="A561" s="38">
        <v>561</v>
      </c>
      <c r="B561" s="1" t="s">
        <v>552</v>
      </c>
      <c r="C561" s="2" t="s">
        <v>205</v>
      </c>
    </row>
    <row r="562" spans="1:4" s="1" customFormat="1">
      <c r="A562" s="38">
        <v>562</v>
      </c>
      <c r="C562" s="2" t="s">
        <v>8</v>
      </c>
    </row>
    <row r="563" spans="1:4" s="1" customFormat="1">
      <c r="A563" s="38">
        <v>563</v>
      </c>
      <c r="C563" s="2" t="s">
        <v>8</v>
      </c>
    </row>
    <row r="564" spans="1:4" s="1" customFormat="1">
      <c r="A564" s="38">
        <v>564</v>
      </c>
      <c r="C564" s="2" t="s">
        <v>8</v>
      </c>
    </row>
    <row r="565" spans="1:4" s="1" customFormat="1" ht="14.25" thickBot="1">
      <c r="A565" s="38">
        <v>565</v>
      </c>
      <c r="B565" s="42"/>
      <c r="C565" s="43" t="s">
        <v>8</v>
      </c>
    </row>
    <row r="566" spans="1:4" s="1" customFormat="1">
      <c r="A566" s="38">
        <v>566</v>
      </c>
      <c r="B566" s="1" t="s">
        <v>345</v>
      </c>
      <c r="C566" s="41" t="s">
        <v>15</v>
      </c>
      <c r="D566" s="1" t="s">
        <v>209</v>
      </c>
    </row>
    <row r="567" spans="1:4" s="1" customFormat="1">
      <c r="A567" s="38">
        <v>567</v>
      </c>
      <c r="B567" s="1" t="s">
        <v>345</v>
      </c>
      <c r="C567" s="2" t="s">
        <v>16</v>
      </c>
    </row>
    <row r="568" spans="1:4" s="1" customFormat="1">
      <c r="A568" s="38">
        <v>568</v>
      </c>
      <c r="B568" s="1" t="s">
        <v>345</v>
      </c>
      <c r="C568" s="2" t="s">
        <v>17</v>
      </c>
    </row>
    <row r="569" spans="1:4" s="1" customFormat="1">
      <c r="A569" s="38">
        <v>569</v>
      </c>
      <c r="B569" s="1" t="s">
        <v>345</v>
      </c>
      <c r="C569" s="2" t="s">
        <v>18</v>
      </c>
    </row>
    <row r="570" spans="1:4" s="1" customFormat="1">
      <c r="A570" s="38">
        <v>570</v>
      </c>
      <c r="B570" s="1" t="s">
        <v>345</v>
      </c>
      <c r="C570" s="2" t="s">
        <v>19</v>
      </c>
    </row>
    <row r="571" spans="1:4" s="1" customFormat="1">
      <c r="A571" s="38">
        <v>571</v>
      </c>
      <c r="B571" s="1" t="s">
        <v>345</v>
      </c>
      <c r="C571" s="2" t="s">
        <v>20</v>
      </c>
    </row>
    <row r="572" spans="1:4" s="1" customFormat="1">
      <c r="A572" s="38">
        <v>572</v>
      </c>
      <c r="B572" s="1" t="s">
        <v>345</v>
      </c>
      <c r="C572" s="2" t="s">
        <v>21</v>
      </c>
    </row>
    <row r="573" spans="1:4" s="1" customFormat="1">
      <c r="A573" s="38">
        <v>573</v>
      </c>
      <c r="B573" s="1" t="s">
        <v>345</v>
      </c>
      <c r="C573" s="2" t="s">
        <v>22</v>
      </c>
    </row>
    <row r="574" spans="1:4" s="1" customFormat="1">
      <c r="A574" s="38">
        <v>574</v>
      </c>
      <c r="B574" s="1" t="s">
        <v>345</v>
      </c>
      <c r="C574" s="2" t="s">
        <v>23</v>
      </c>
    </row>
    <row r="575" spans="1:4" s="1" customFormat="1">
      <c r="A575" s="38">
        <v>575</v>
      </c>
      <c r="B575" s="1" t="s">
        <v>345</v>
      </c>
      <c r="C575" s="2" t="s">
        <v>24</v>
      </c>
    </row>
    <row r="576" spans="1:4" s="1" customFormat="1">
      <c r="A576" s="38">
        <v>576</v>
      </c>
      <c r="B576" s="1" t="s">
        <v>553</v>
      </c>
      <c r="C576" s="2" t="s">
        <v>205</v>
      </c>
    </row>
    <row r="577" spans="1:4" s="1" customFormat="1">
      <c r="A577" s="38">
        <v>577</v>
      </c>
      <c r="C577" s="2" t="s">
        <v>8</v>
      </c>
    </row>
    <row r="578" spans="1:4" s="1" customFormat="1">
      <c r="A578" s="38">
        <v>578</v>
      </c>
      <c r="C578" s="2" t="s">
        <v>8</v>
      </c>
    </row>
    <row r="579" spans="1:4" s="1" customFormat="1">
      <c r="A579" s="38">
        <v>579</v>
      </c>
      <c r="C579" s="2" t="s">
        <v>8</v>
      </c>
    </row>
    <row r="580" spans="1:4" s="1" customFormat="1" ht="14.25" thickBot="1">
      <c r="A580" s="38">
        <v>580</v>
      </c>
      <c r="B580" s="42"/>
      <c r="C580" s="43" t="s">
        <v>8</v>
      </c>
    </row>
    <row r="581" spans="1:4" s="1" customFormat="1">
      <c r="A581" s="38">
        <v>581</v>
      </c>
      <c r="B581" s="1" t="s">
        <v>345</v>
      </c>
      <c r="C581" s="41" t="s">
        <v>15</v>
      </c>
      <c r="D581" s="1" t="s">
        <v>210</v>
      </c>
    </row>
    <row r="582" spans="1:4" s="1" customFormat="1">
      <c r="A582" s="38">
        <v>582</v>
      </c>
      <c r="B582" s="1" t="s">
        <v>345</v>
      </c>
      <c r="C582" s="2" t="s">
        <v>16</v>
      </c>
    </row>
    <row r="583" spans="1:4" s="1" customFormat="1">
      <c r="A583" s="38">
        <v>583</v>
      </c>
      <c r="B583" s="1" t="s">
        <v>345</v>
      </c>
      <c r="C583" s="2" t="s">
        <v>17</v>
      </c>
    </row>
    <row r="584" spans="1:4" s="1" customFormat="1">
      <c r="A584" s="38">
        <v>584</v>
      </c>
      <c r="B584" s="1" t="s">
        <v>345</v>
      </c>
      <c r="C584" s="2" t="s">
        <v>18</v>
      </c>
    </row>
    <row r="585" spans="1:4" s="1" customFormat="1">
      <c r="A585" s="38">
        <v>585</v>
      </c>
      <c r="B585" s="1" t="s">
        <v>345</v>
      </c>
      <c r="C585" s="2" t="s">
        <v>19</v>
      </c>
    </row>
    <row r="586" spans="1:4" s="1" customFormat="1">
      <c r="A586" s="38">
        <v>586</v>
      </c>
      <c r="B586" s="1" t="s">
        <v>345</v>
      </c>
      <c r="C586" s="2" t="s">
        <v>20</v>
      </c>
    </row>
    <row r="587" spans="1:4" s="1" customFormat="1">
      <c r="A587" s="38">
        <v>587</v>
      </c>
      <c r="B587" s="1" t="s">
        <v>345</v>
      </c>
      <c r="C587" s="2" t="s">
        <v>21</v>
      </c>
    </row>
    <row r="588" spans="1:4" s="1" customFormat="1">
      <c r="A588" s="38">
        <v>588</v>
      </c>
      <c r="B588" s="1" t="s">
        <v>345</v>
      </c>
      <c r="C588" s="2" t="s">
        <v>22</v>
      </c>
    </row>
    <row r="589" spans="1:4" s="1" customFormat="1">
      <c r="A589" s="38">
        <v>589</v>
      </c>
      <c r="B589" s="1" t="s">
        <v>345</v>
      </c>
      <c r="C589" s="2" t="s">
        <v>23</v>
      </c>
    </row>
    <row r="590" spans="1:4" s="1" customFormat="1">
      <c r="A590" s="38">
        <v>590</v>
      </c>
      <c r="B590" s="1" t="s">
        <v>345</v>
      </c>
      <c r="C590" s="2" t="s">
        <v>24</v>
      </c>
    </row>
    <row r="591" spans="1:4" s="1" customFormat="1">
      <c r="A591" s="38">
        <v>591</v>
      </c>
      <c r="B591" s="1" t="s">
        <v>554</v>
      </c>
      <c r="C591" s="2" t="s">
        <v>205</v>
      </c>
    </row>
    <row r="592" spans="1:4" s="1" customFormat="1">
      <c r="A592" s="38">
        <v>592</v>
      </c>
      <c r="C592" s="2" t="s">
        <v>8</v>
      </c>
    </row>
    <row r="593" spans="1:4" s="1" customFormat="1">
      <c r="A593" s="38">
        <v>593</v>
      </c>
      <c r="C593" s="2" t="s">
        <v>8</v>
      </c>
    </row>
    <row r="594" spans="1:4" s="1" customFormat="1">
      <c r="A594" s="38">
        <v>594</v>
      </c>
      <c r="C594" s="2" t="s">
        <v>8</v>
      </c>
    </row>
    <row r="595" spans="1:4" s="1" customFormat="1" ht="14.25" thickBot="1">
      <c r="A595" s="38">
        <v>595</v>
      </c>
      <c r="B595" s="42"/>
      <c r="C595" s="43" t="s">
        <v>8</v>
      </c>
    </row>
    <row r="596" spans="1:4" s="1" customFormat="1">
      <c r="A596" s="38">
        <v>596</v>
      </c>
      <c r="B596" s="1" t="s">
        <v>345</v>
      </c>
      <c r="C596" s="41" t="s">
        <v>15</v>
      </c>
      <c r="D596" s="1" t="s">
        <v>211</v>
      </c>
    </row>
    <row r="597" spans="1:4" s="1" customFormat="1">
      <c r="A597" s="38">
        <v>597</v>
      </c>
      <c r="B597" s="1" t="s">
        <v>345</v>
      </c>
      <c r="C597" s="2" t="s">
        <v>16</v>
      </c>
    </row>
    <row r="598" spans="1:4" s="1" customFormat="1">
      <c r="A598" s="38">
        <v>598</v>
      </c>
      <c r="B598" s="1" t="s">
        <v>345</v>
      </c>
      <c r="C598" s="2" t="s">
        <v>17</v>
      </c>
    </row>
    <row r="599" spans="1:4" s="1" customFormat="1">
      <c r="A599" s="38">
        <v>599</v>
      </c>
      <c r="B599" s="1" t="s">
        <v>345</v>
      </c>
      <c r="C599" s="2" t="s">
        <v>18</v>
      </c>
    </row>
    <row r="600" spans="1:4" s="1" customFormat="1">
      <c r="A600" s="38">
        <v>600</v>
      </c>
      <c r="B600" s="1" t="s">
        <v>345</v>
      </c>
      <c r="C600" s="2" t="s">
        <v>19</v>
      </c>
    </row>
    <row r="601" spans="1:4" s="1" customFormat="1">
      <c r="A601" s="38">
        <v>601</v>
      </c>
      <c r="B601" s="1" t="s">
        <v>345</v>
      </c>
      <c r="C601" s="2" t="s">
        <v>20</v>
      </c>
    </row>
    <row r="602" spans="1:4" s="1" customFormat="1">
      <c r="A602" s="38">
        <v>602</v>
      </c>
      <c r="B602" s="1" t="s">
        <v>345</v>
      </c>
      <c r="C602" s="2" t="s">
        <v>21</v>
      </c>
    </row>
    <row r="603" spans="1:4" s="1" customFormat="1">
      <c r="A603" s="38">
        <v>603</v>
      </c>
      <c r="B603" s="1" t="s">
        <v>345</v>
      </c>
      <c r="C603" s="2" t="s">
        <v>22</v>
      </c>
    </row>
    <row r="604" spans="1:4" s="1" customFormat="1">
      <c r="A604" s="38">
        <v>604</v>
      </c>
      <c r="B604" s="1" t="s">
        <v>345</v>
      </c>
      <c r="C604" s="2" t="s">
        <v>23</v>
      </c>
    </row>
    <row r="605" spans="1:4" s="1" customFormat="1">
      <c r="A605" s="38">
        <v>605</v>
      </c>
      <c r="B605" s="1" t="s">
        <v>345</v>
      </c>
      <c r="C605" s="2" t="s">
        <v>24</v>
      </c>
    </row>
    <row r="606" spans="1:4" s="1" customFormat="1">
      <c r="A606" s="38">
        <v>606</v>
      </c>
      <c r="B606" s="1" t="s">
        <v>555</v>
      </c>
      <c r="C606" s="2" t="s">
        <v>205</v>
      </c>
    </row>
    <row r="607" spans="1:4" s="1" customFormat="1">
      <c r="A607" s="38">
        <v>607</v>
      </c>
      <c r="C607" s="2" t="s">
        <v>8</v>
      </c>
    </row>
    <row r="608" spans="1:4" s="1" customFormat="1">
      <c r="A608" s="38">
        <v>608</v>
      </c>
      <c r="C608" s="2" t="s">
        <v>8</v>
      </c>
    </row>
    <row r="609" spans="1:4" s="1" customFormat="1">
      <c r="A609" s="38">
        <v>609</v>
      </c>
      <c r="C609" s="2" t="s">
        <v>8</v>
      </c>
    </row>
    <row r="610" spans="1:4" s="1" customFormat="1" ht="14.25" thickBot="1">
      <c r="A610" s="38">
        <v>610</v>
      </c>
      <c r="B610" s="42"/>
      <c r="C610" s="43" t="s">
        <v>8</v>
      </c>
    </row>
    <row r="611" spans="1:4" s="1" customFormat="1">
      <c r="A611" s="38">
        <v>611</v>
      </c>
      <c r="B611" s="1" t="s">
        <v>345</v>
      </c>
      <c r="C611" s="41" t="s">
        <v>15</v>
      </c>
      <c r="D611" s="1" t="s">
        <v>212</v>
      </c>
    </row>
    <row r="612" spans="1:4" s="1" customFormat="1">
      <c r="A612" s="38">
        <v>612</v>
      </c>
      <c r="B612" s="1" t="s">
        <v>345</v>
      </c>
      <c r="C612" s="2" t="s">
        <v>16</v>
      </c>
    </row>
    <row r="613" spans="1:4" s="1" customFormat="1">
      <c r="A613" s="38">
        <v>613</v>
      </c>
      <c r="B613" s="1" t="s">
        <v>345</v>
      </c>
      <c r="C613" s="2" t="s">
        <v>17</v>
      </c>
    </row>
    <row r="614" spans="1:4" s="1" customFormat="1">
      <c r="A614" s="38">
        <v>614</v>
      </c>
      <c r="B614" s="1" t="s">
        <v>345</v>
      </c>
      <c r="C614" s="2" t="s">
        <v>18</v>
      </c>
    </row>
    <row r="615" spans="1:4" s="1" customFormat="1">
      <c r="A615" s="38">
        <v>615</v>
      </c>
      <c r="B615" s="1" t="s">
        <v>345</v>
      </c>
      <c r="C615" s="2" t="s">
        <v>19</v>
      </c>
    </row>
    <row r="616" spans="1:4" s="1" customFormat="1">
      <c r="A616" s="38">
        <v>616</v>
      </c>
      <c r="B616" s="1" t="s">
        <v>345</v>
      </c>
      <c r="C616" s="2" t="s">
        <v>20</v>
      </c>
    </row>
    <row r="617" spans="1:4" s="1" customFormat="1">
      <c r="A617" s="38">
        <v>617</v>
      </c>
      <c r="B617" s="1" t="s">
        <v>345</v>
      </c>
      <c r="C617" s="2" t="s">
        <v>21</v>
      </c>
    </row>
    <row r="618" spans="1:4" s="1" customFormat="1">
      <c r="A618" s="38">
        <v>618</v>
      </c>
      <c r="B618" s="1" t="s">
        <v>345</v>
      </c>
      <c r="C618" s="2" t="s">
        <v>22</v>
      </c>
    </row>
    <row r="619" spans="1:4" s="1" customFormat="1">
      <c r="A619" s="38">
        <v>619</v>
      </c>
      <c r="B619" s="1" t="s">
        <v>345</v>
      </c>
      <c r="C619" s="2" t="s">
        <v>23</v>
      </c>
    </row>
    <row r="620" spans="1:4" s="1" customFormat="1">
      <c r="A620" s="38">
        <v>620</v>
      </c>
      <c r="B620" s="1" t="s">
        <v>345</v>
      </c>
      <c r="C620" s="2" t="s">
        <v>24</v>
      </c>
    </row>
    <row r="621" spans="1:4" s="1" customFormat="1">
      <c r="A621" s="38">
        <v>621</v>
      </c>
      <c r="B621" s="1" t="s">
        <v>556</v>
      </c>
      <c r="C621" s="2" t="s">
        <v>205</v>
      </c>
    </row>
    <row r="622" spans="1:4" s="1" customFormat="1">
      <c r="A622" s="38">
        <v>622</v>
      </c>
      <c r="C622" s="2" t="s">
        <v>8</v>
      </c>
    </row>
    <row r="623" spans="1:4" s="1" customFormat="1">
      <c r="A623" s="38">
        <v>623</v>
      </c>
      <c r="C623" s="2" t="s">
        <v>8</v>
      </c>
    </row>
    <row r="624" spans="1:4" s="1" customFormat="1">
      <c r="A624" s="38">
        <v>624</v>
      </c>
      <c r="C624" s="2" t="s">
        <v>8</v>
      </c>
    </row>
    <row r="625" spans="1:4" s="1" customFormat="1" ht="14.25" thickBot="1">
      <c r="A625" s="38">
        <v>625</v>
      </c>
      <c r="B625" s="42"/>
      <c r="C625" s="43" t="s">
        <v>8</v>
      </c>
    </row>
    <row r="626" spans="1:4" s="1" customFormat="1">
      <c r="A626" s="38">
        <v>626</v>
      </c>
      <c r="B626" s="1" t="s">
        <v>345</v>
      </c>
      <c r="C626" s="41" t="s">
        <v>15</v>
      </c>
      <c r="D626" s="1" t="s">
        <v>213</v>
      </c>
    </row>
    <row r="627" spans="1:4" s="1" customFormat="1">
      <c r="A627" s="38">
        <v>627</v>
      </c>
      <c r="B627" s="1" t="s">
        <v>345</v>
      </c>
      <c r="C627" s="2" t="s">
        <v>16</v>
      </c>
    </row>
    <row r="628" spans="1:4" s="1" customFormat="1">
      <c r="A628" s="38">
        <v>628</v>
      </c>
      <c r="B628" s="1" t="s">
        <v>345</v>
      </c>
      <c r="C628" s="2" t="s">
        <v>17</v>
      </c>
    </row>
    <row r="629" spans="1:4" s="1" customFormat="1">
      <c r="A629" s="38">
        <v>629</v>
      </c>
      <c r="B629" s="1" t="s">
        <v>345</v>
      </c>
      <c r="C629" s="2" t="s">
        <v>18</v>
      </c>
    </row>
    <row r="630" spans="1:4" s="1" customFormat="1">
      <c r="A630" s="38">
        <v>630</v>
      </c>
      <c r="B630" s="1" t="s">
        <v>345</v>
      </c>
      <c r="C630" s="2" t="s">
        <v>19</v>
      </c>
    </row>
    <row r="631" spans="1:4" s="1" customFormat="1">
      <c r="A631" s="38">
        <v>631</v>
      </c>
      <c r="B631" s="1" t="s">
        <v>345</v>
      </c>
      <c r="C631" s="2" t="s">
        <v>20</v>
      </c>
    </row>
    <row r="632" spans="1:4" s="1" customFormat="1">
      <c r="A632" s="38">
        <v>632</v>
      </c>
      <c r="B632" s="1" t="s">
        <v>345</v>
      </c>
      <c r="C632" s="2" t="s">
        <v>21</v>
      </c>
    </row>
    <row r="633" spans="1:4" s="1" customFormat="1">
      <c r="A633" s="38">
        <v>633</v>
      </c>
      <c r="B633" s="1" t="s">
        <v>345</v>
      </c>
      <c r="C633" s="2" t="s">
        <v>22</v>
      </c>
    </row>
    <row r="634" spans="1:4" s="1" customFormat="1">
      <c r="A634" s="38">
        <v>634</v>
      </c>
      <c r="B634" s="1" t="s">
        <v>345</v>
      </c>
      <c r="C634" s="2" t="s">
        <v>23</v>
      </c>
    </row>
    <row r="635" spans="1:4" s="1" customFormat="1">
      <c r="A635" s="38">
        <v>635</v>
      </c>
      <c r="B635" s="1" t="s">
        <v>345</v>
      </c>
      <c r="C635" s="2" t="s">
        <v>24</v>
      </c>
    </row>
    <row r="636" spans="1:4" s="1" customFormat="1">
      <c r="A636" s="38">
        <v>636</v>
      </c>
      <c r="B636" s="1" t="s">
        <v>557</v>
      </c>
      <c r="C636" s="2" t="s">
        <v>205</v>
      </c>
    </row>
    <row r="637" spans="1:4" s="1" customFormat="1">
      <c r="A637" s="38">
        <v>637</v>
      </c>
      <c r="C637" s="2" t="s">
        <v>8</v>
      </c>
    </row>
    <row r="638" spans="1:4" s="1" customFormat="1">
      <c r="A638" s="38">
        <v>638</v>
      </c>
      <c r="C638" s="2" t="s">
        <v>8</v>
      </c>
    </row>
    <row r="639" spans="1:4" s="1" customFormat="1">
      <c r="A639" s="38">
        <v>639</v>
      </c>
      <c r="C639" s="2" t="s">
        <v>8</v>
      </c>
    </row>
    <row r="640" spans="1:4" s="1" customFormat="1" ht="14.25" thickBot="1">
      <c r="A640" s="38">
        <v>640</v>
      </c>
      <c r="B640" s="42"/>
      <c r="C640" s="43" t="s">
        <v>8</v>
      </c>
    </row>
    <row r="641" spans="1:4" s="1" customFormat="1">
      <c r="A641" s="38">
        <v>641</v>
      </c>
      <c r="B641" s="1" t="s">
        <v>345</v>
      </c>
      <c r="C641" s="41" t="s">
        <v>15</v>
      </c>
      <c r="D641" s="1" t="s">
        <v>214</v>
      </c>
    </row>
    <row r="642" spans="1:4" s="1" customFormat="1">
      <c r="A642" s="38">
        <v>642</v>
      </c>
      <c r="B642" s="1" t="s">
        <v>345</v>
      </c>
      <c r="C642" s="2" t="s">
        <v>16</v>
      </c>
    </row>
    <row r="643" spans="1:4" s="1" customFormat="1">
      <c r="A643" s="38">
        <v>643</v>
      </c>
      <c r="B643" s="1" t="s">
        <v>345</v>
      </c>
      <c r="C643" s="2" t="s">
        <v>17</v>
      </c>
    </row>
    <row r="644" spans="1:4" s="1" customFormat="1">
      <c r="A644" s="38">
        <v>644</v>
      </c>
      <c r="B644" s="1" t="s">
        <v>345</v>
      </c>
      <c r="C644" s="2" t="s">
        <v>18</v>
      </c>
    </row>
    <row r="645" spans="1:4" s="1" customFormat="1">
      <c r="A645" s="38">
        <v>645</v>
      </c>
      <c r="B645" s="1" t="s">
        <v>345</v>
      </c>
      <c r="C645" s="2" t="s">
        <v>19</v>
      </c>
    </row>
    <row r="646" spans="1:4" s="1" customFormat="1">
      <c r="A646" s="38">
        <v>646</v>
      </c>
      <c r="B646" s="1" t="s">
        <v>345</v>
      </c>
      <c r="C646" s="2" t="s">
        <v>20</v>
      </c>
    </row>
    <row r="647" spans="1:4" s="1" customFormat="1">
      <c r="A647" s="38">
        <v>647</v>
      </c>
      <c r="B647" s="1" t="s">
        <v>345</v>
      </c>
      <c r="C647" s="2" t="s">
        <v>21</v>
      </c>
    </row>
    <row r="648" spans="1:4" s="1" customFormat="1">
      <c r="A648" s="38">
        <v>648</v>
      </c>
      <c r="B648" s="1" t="s">
        <v>345</v>
      </c>
      <c r="C648" s="2" t="s">
        <v>22</v>
      </c>
    </row>
    <row r="649" spans="1:4" s="1" customFormat="1">
      <c r="A649" s="38">
        <v>649</v>
      </c>
      <c r="B649" s="1" t="s">
        <v>345</v>
      </c>
      <c r="C649" s="2" t="s">
        <v>23</v>
      </c>
    </row>
    <row r="650" spans="1:4" s="1" customFormat="1">
      <c r="A650" s="38">
        <v>650</v>
      </c>
      <c r="B650" s="1" t="s">
        <v>345</v>
      </c>
      <c r="C650" s="2" t="s">
        <v>24</v>
      </c>
    </row>
    <row r="651" spans="1:4" s="1" customFormat="1">
      <c r="A651" s="38">
        <v>651</v>
      </c>
      <c r="B651" s="1" t="s">
        <v>558</v>
      </c>
      <c r="C651" s="2" t="s">
        <v>205</v>
      </c>
    </row>
    <row r="652" spans="1:4" s="1" customFormat="1">
      <c r="A652" s="38">
        <v>652</v>
      </c>
      <c r="C652" s="2" t="s">
        <v>8</v>
      </c>
    </row>
    <row r="653" spans="1:4" s="1" customFormat="1">
      <c r="A653" s="38">
        <v>653</v>
      </c>
      <c r="C653" s="2" t="s">
        <v>8</v>
      </c>
    </row>
    <row r="654" spans="1:4" s="1" customFormat="1">
      <c r="A654" s="38">
        <v>654</v>
      </c>
      <c r="C654" s="2" t="s">
        <v>8</v>
      </c>
    </row>
    <row r="655" spans="1:4" s="1" customFormat="1" ht="14.25" thickBot="1">
      <c r="A655" s="38">
        <v>655</v>
      </c>
      <c r="B655" s="42"/>
      <c r="C655" s="43" t="s">
        <v>8</v>
      </c>
    </row>
    <row r="656" spans="1:4" s="1" customFormat="1">
      <c r="A656" s="38">
        <v>656</v>
      </c>
      <c r="B656" s="1" t="s">
        <v>345</v>
      </c>
      <c r="C656" s="41" t="s">
        <v>15</v>
      </c>
      <c r="D656" s="1" t="s">
        <v>215</v>
      </c>
    </row>
    <row r="657" spans="1:4" s="1" customFormat="1">
      <c r="A657" s="38">
        <v>657</v>
      </c>
      <c r="B657" s="1" t="s">
        <v>345</v>
      </c>
      <c r="C657" s="2" t="s">
        <v>16</v>
      </c>
    </row>
    <row r="658" spans="1:4" s="1" customFormat="1">
      <c r="A658" s="38">
        <v>658</v>
      </c>
      <c r="B658" s="1" t="s">
        <v>345</v>
      </c>
      <c r="C658" s="2" t="s">
        <v>17</v>
      </c>
    </row>
    <row r="659" spans="1:4" s="1" customFormat="1">
      <c r="A659" s="38">
        <v>659</v>
      </c>
      <c r="B659" s="1" t="s">
        <v>345</v>
      </c>
      <c r="C659" s="2" t="s">
        <v>18</v>
      </c>
    </row>
    <row r="660" spans="1:4" s="1" customFormat="1">
      <c r="A660" s="38">
        <v>660</v>
      </c>
      <c r="B660" s="1" t="s">
        <v>345</v>
      </c>
      <c r="C660" s="2" t="s">
        <v>19</v>
      </c>
    </row>
    <row r="661" spans="1:4" s="1" customFormat="1">
      <c r="A661" s="38">
        <v>661</v>
      </c>
      <c r="B661" s="1" t="s">
        <v>345</v>
      </c>
      <c r="C661" s="2" t="s">
        <v>20</v>
      </c>
    </row>
    <row r="662" spans="1:4" s="1" customFormat="1">
      <c r="A662" s="38">
        <v>662</v>
      </c>
      <c r="B662" s="1" t="s">
        <v>345</v>
      </c>
      <c r="C662" s="2" t="s">
        <v>21</v>
      </c>
    </row>
    <row r="663" spans="1:4" s="1" customFormat="1">
      <c r="A663" s="38">
        <v>663</v>
      </c>
      <c r="B663" s="1" t="s">
        <v>345</v>
      </c>
      <c r="C663" s="2" t="s">
        <v>22</v>
      </c>
    </row>
    <row r="664" spans="1:4" s="1" customFormat="1">
      <c r="A664" s="38">
        <v>664</v>
      </c>
      <c r="B664" s="1" t="s">
        <v>345</v>
      </c>
      <c r="C664" s="2" t="s">
        <v>23</v>
      </c>
    </row>
    <row r="665" spans="1:4" s="1" customFormat="1">
      <c r="A665" s="38">
        <v>665</v>
      </c>
      <c r="B665" s="1" t="s">
        <v>345</v>
      </c>
      <c r="C665" s="2" t="s">
        <v>24</v>
      </c>
    </row>
    <row r="666" spans="1:4" s="1" customFormat="1">
      <c r="A666" s="38">
        <v>666</v>
      </c>
      <c r="B666" s="1" t="s">
        <v>559</v>
      </c>
      <c r="C666" s="2" t="s">
        <v>205</v>
      </c>
    </row>
    <row r="667" spans="1:4" s="1" customFormat="1">
      <c r="A667" s="38">
        <v>667</v>
      </c>
      <c r="C667" s="2" t="s">
        <v>8</v>
      </c>
    </row>
    <row r="668" spans="1:4" s="1" customFormat="1">
      <c r="A668" s="38">
        <v>668</v>
      </c>
      <c r="C668" s="2" t="s">
        <v>8</v>
      </c>
    </row>
    <row r="669" spans="1:4" s="1" customFormat="1">
      <c r="A669" s="38">
        <v>669</v>
      </c>
      <c r="C669" s="2" t="s">
        <v>8</v>
      </c>
    </row>
    <row r="670" spans="1:4" s="1" customFormat="1" ht="14.25" thickBot="1">
      <c r="A670" s="38">
        <v>670</v>
      </c>
      <c r="B670" s="42"/>
      <c r="C670" s="43" t="s">
        <v>8</v>
      </c>
    </row>
    <row r="671" spans="1:4" s="1" customFormat="1">
      <c r="A671" s="38">
        <v>671</v>
      </c>
      <c r="C671" s="41" t="s">
        <v>15</v>
      </c>
      <c r="D671" s="1" t="s">
        <v>216</v>
      </c>
    </row>
    <row r="672" spans="1:4" s="1" customFormat="1">
      <c r="A672" s="38">
        <v>672</v>
      </c>
      <c r="C672" s="2" t="s">
        <v>16</v>
      </c>
    </row>
    <row r="673" spans="1:4" s="1" customFormat="1">
      <c r="A673" s="38">
        <v>673</v>
      </c>
      <c r="C673" s="2" t="s">
        <v>17</v>
      </c>
    </row>
    <row r="674" spans="1:4" s="1" customFormat="1">
      <c r="A674" s="38">
        <v>674</v>
      </c>
      <c r="C674" s="2" t="s">
        <v>18</v>
      </c>
    </row>
    <row r="675" spans="1:4" s="1" customFormat="1">
      <c r="A675" s="38">
        <v>675</v>
      </c>
      <c r="C675" s="2" t="s">
        <v>19</v>
      </c>
    </row>
    <row r="676" spans="1:4" s="1" customFormat="1">
      <c r="A676" s="38">
        <v>676</v>
      </c>
      <c r="C676" s="2" t="s">
        <v>20</v>
      </c>
    </row>
    <row r="677" spans="1:4" s="1" customFormat="1">
      <c r="A677" s="38">
        <v>677</v>
      </c>
      <c r="C677" s="2" t="s">
        <v>21</v>
      </c>
    </row>
    <row r="678" spans="1:4" s="1" customFormat="1">
      <c r="A678" s="38">
        <v>678</v>
      </c>
      <c r="C678" s="2" t="s">
        <v>22</v>
      </c>
    </row>
    <row r="679" spans="1:4" s="1" customFormat="1">
      <c r="A679" s="38">
        <v>679</v>
      </c>
      <c r="C679" s="2" t="s">
        <v>23</v>
      </c>
    </row>
    <row r="680" spans="1:4" s="1" customFormat="1">
      <c r="A680" s="38">
        <v>680</v>
      </c>
      <c r="C680" s="2" t="s">
        <v>24</v>
      </c>
    </row>
    <row r="681" spans="1:4" s="1" customFormat="1">
      <c r="A681" s="38">
        <v>681</v>
      </c>
      <c r="C681" s="2" t="s">
        <v>205</v>
      </c>
    </row>
    <row r="682" spans="1:4" s="1" customFormat="1">
      <c r="A682" s="38">
        <v>682</v>
      </c>
      <c r="C682" s="2" t="s">
        <v>8</v>
      </c>
    </row>
    <row r="683" spans="1:4" s="1" customFormat="1">
      <c r="A683" s="38">
        <v>683</v>
      </c>
      <c r="C683" s="2" t="s">
        <v>8</v>
      </c>
    </row>
    <row r="684" spans="1:4" s="1" customFormat="1">
      <c r="A684" s="38">
        <v>684</v>
      </c>
      <c r="C684" s="2" t="s">
        <v>8</v>
      </c>
    </row>
    <row r="685" spans="1:4" s="1" customFormat="1" ht="14.25" thickBot="1">
      <c r="A685" s="38">
        <v>685</v>
      </c>
      <c r="B685" s="42"/>
      <c r="C685" s="43" t="s">
        <v>8</v>
      </c>
    </row>
    <row r="686" spans="1:4" s="1" customFormat="1">
      <c r="A686" s="38">
        <v>686</v>
      </c>
      <c r="C686" s="41" t="s">
        <v>15</v>
      </c>
      <c r="D686" s="1" t="s">
        <v>217</v>
      </c>
    </row>
    <row r="687" spans="1:4" s="1" customFormat="1">
      <c r="A687" s="38">
        <v>687</v>
      </c>
      <c r="C687" s="2" t="s">
        <v>16</v>
      </c>
    </row>
    <row r="688" spans="1:4" s="1" customFormat="1">
      <c r="A688" s="38">
        <v>688</v>
      </c>
      <c r="C688" s="2" t="s">
        <v>17</v>
      </c>
    </row>
    <row r="689" spans="1:4" s="1" customFormat="1">
      <c r="A689" s="38">
        <v>689</v>
      </c>
      <c r="C689" s="2" t="s">
        <v>18</v>
      </c>
    </row>
    <row r="690" spans="1:4" s="1" customFormat="1">
      <c r="A690" s="38">
        <v>690</v>
      </c>
      <c r="C690" s="2" t="s">
        <v>19</v>
      </c>
    </row>
    <row r="691" spans="1:4" s="1" customFormat="1">
      <c r="A691" s="38">
        <v>691</v>
      </c>
      <c r="C691" s="2" t="s">
        <v>20</v>
      </c>
    </row>
    <row r="692" spans="1:4" s="1" customFormat="1">
      <c r="A692" s="38">
        <v>692</v>
      </c>
      <c r="C692" s="2" t="s">
        <v>21</v>
      </c>
    </row>
    <row r="693" spans="1:4" s="1" customFormat="1">
      <c r="A693" s="38">
        <v>693</v>
      </c>
      <c r="C693" s="2" t="s">
        <v>22</v>
      </c>
    </row>
    <row r="694" spans="1:4" s="1" customFormat="1">
      <c r="A694" s="38">
        <v>694</v>
      </c>
      <c r="C694" s="2" t="s">
        <v>23</v>
      </c>
    </row>
    <row r="695" spans="1:4" s="1" customFormat="1">
      <c r="A695" s="38">
        <v>695</v>
      </c>
      <c r="C695" s="2" t="s">
        <v>24</v>
      </c>
    </row>
    <row r="696" spans="1:4" s="1" customFormat="1">
      <c r="A696" s="38">
        <v>696</v>
      </c>
      <c r="C696" s="2" t="s">
        <v>205</v>
      </c>
    </row>
    <row r="697" spans="1:4" s="1" customFormat="1">
      <c r="A697" s="38">
        <v>697</v>
      </c>
      <c r="C697" s="2" t="s">
        <v>8</v>
      </c>
    </row>
    <row r="698" spans="1:4" s="1" customFormat="1">
      <c r="A698" s="38">
        <v>698</v>
      </c>
      <c r="C698" s="2" t="s">
        <v>8</v>
      </c>
    </row>
    <row r="699" spans="1:4" s="1" customFormat="1">
      <c r="A699" s="38">
        <v>699</v>
      </c>
      <c r="C699" s="2" t="s">
        <v>8</v>
      </c>
    </row>
    <row r="700" spans="1:4" s="1" customFormat="1" ht="14.25" thickBot="1">
      <c r="A700" s="38">
        <v>700</v>
      </c>
      <c r="B700" s="42"/>
      <c r="C700" s="43" t="s">
        <v>8</v>
      </c>
    </row>
    <row r="701" spans="1:4" s="1" customFormat="1">
      <c r="A701" s="38">
        <v>701</v>
      </c>
      <c r="C701" s="41" t="s">
        <v>15</v>
      </c>
      <c r="D701" s="1" t="s">
        <v>218</v>
      </c>
    </row>
    <row r="702" spans="1:4" s="1" customFormat="1">
      <c r="A702" s="38">
        <v>702</v>
      </c>
      <c r="C702" s="2" t="s">
        <v>16</v>
      </c>
    </row>
    <row r="703" spans="1:4" s="1" customFormat="1">
      <c r="A703" s="38">
        <v>703</v>
      </c>
      <c r="C703" s="2" t="s">
        <v>17</v>
      </c>
    </row>
    <row r="704" spans="1:4" s="1" customFormat="1">
      <c r="A704" s="38">
        <v>704</v>
      </c>
      <c r="C704" s="2" t="s">
        <v>18</v>
      </c>
    </row>
    <row r="705" spans="1:4" s="1" customFormat="1">
      <c r="A705" s="38">
        <v>705</v>
      </c>
      <c r="C705" s="2" t="s">
        <v>19</v>
      </c>
    </row>
    <row r="706" spans="1:4" s="1" customFormat="1">
      <c r="A706" s="38">
        <v>706</v>
      </c>
      <c r="C706" s="2" t="s">
        <v>20</v>
      </c>
    </row>
    <row r="707" spans="1:4" s="1" customFormat="1">
      <c r="A707" s="38">
        <v>707</v>
      </c>
      <c r="C707" s="2" t="s">
        <v>21</v>
      </c>
    </row>
    <row r="708" spans="1:4" s="1" customFormat="1">
      <c r="A708" s="38">
        <v>708</v>
      </c>
      <c r="C708" s="2" t="s">
        <v>22</v>
      </c>
    </row>
    <row r="709" spans="1:4" s="1" customFormat="1">
      <c r="A709" s="38">
        <v>709</v>
      </c>
      <c r="C709" s="2" t="s">
        <v>23</v>
      </c>
    </row>
    <row r="710" spans="1:4" s="1" customFormat="1">
      <c r="A710" s="38">
        <v>710</v>
      </c>
      <c r="C710" s="2" t="s">
        <v>24</v>
      </c>
    </row>
    <row r="711" spans="1:4" s="1" customFormat="1">
      <c r="A711" s="38">
        <v>711</v>
      </c>
      <c r="C711" s="2" t="s">
        <v>205</v>
      </c>
    </row>
    <row r="712" spans="1:4" s="1" customFormat="1">
      <c r="A712" s="38">
        <v>712</v>
      </c>
      <c r="C712" s="2" t="s">
        <v>8</v>
      </c>
    </row>
    <row r="713" spans="1:4" s="1" customFormat="1">
      <c r="A713" s="38">
        <v>713</v>
      </c>
      <c r="C713" s="2" t="s">
        <v>8</v>
      </c>
    </row>
    <row r="714" spans="1:4" s="1" customFormat="1">
      <c r="A714" s="38">
        <v>714</v>
      </c>
      <c r="C714" s="2" t="s">
        <v>8</v>
      </c>
    </row>
    <row r="715" spans="1:4" s="1" customFormat="1" ht="14.25" thickBot="1">
      <c r="A715" s="38">
        <v>715</v>
      </c>
      <c r="B715" s="42"/>
      <c r="C715" s="43" t="s">
        <v>8</v>
      </c>
    </row>
    <row r="716" spans="1:4" s="1" customFormat="1">
      <c r="A716" s="38">
        <v>716</v>
      </c>
      <c r="C716" s="41" t="s">
        <v>15</v>
      </c>
      <c r="D716" s="1" t="s">
        <v>219</v>
      </c>
    </row>
    <row r="717" spans="1:4" s="1" customFormat="1">
      <c r="A717" s="38">
        <v>717</v>
      </c>
      <c r="C717" s="2" t="s">
        <v>16</v>
      </c>
    </row>
    <row r="718" spans="1:4" s="1" customFormat="1">
      <c r="A718" s="38">
        <v>718</v>
      </c>
      <c r="C718" s="2" t="s">
        <v>17</v>
      </c>
    </row>
    <row r="719" spans="1:4" s="1" customFormat="1">
      <c r="A719" s="38">
        <v>719</v>
      </c>
      <c r="C719" s="2" t="s">
        <v>18</v>
      </c>
    </row>
    <row r="720" spans="1:4" s="1" customFormat="1">
      <c r="A720" s="38">
        <v>720</v>
      </c>
      <c r="C720" s="2" t="s">
        <v>19</v>
      </c>
    </row>
    <row r="721" spans="1:4" s="1" customFormat="1">
      <c r="A721" s="38">
        <v>721</v>
      </c>
      <c r="C721" s="2" t="s">
        <v>20</v>
      </c>
    </row>
    <row r="722" spans="1:4" s="1" customFormat="1">
      <c r="A722" s="38">
        <v>722</v>
      </c>
      <c r="C722" s="2" t="s">
        <v>21</v>
      </c>
    </row>
    <row r="723" spans="1:4" s="1" customFormat="1">
      <c r="A723" s="38">
        <v>723</v>
      </c>
      <c r="C723" s="2" t="s">
        <v>22</v>
      </c>
    </row>
    <row r="724" spans="1:4" s="1" customFormat="1">
      <c r="A724" s="38">
        <v>724</v>
      </c>
      <c r="C724" s="2" t="s">
        <v>23</v>
      </c>
    </row>
    <row r="725" spans="1:4" s="1" customFormat="1">
      <c r="A725" s="38">
        <v>725</v>
      </c>
      <c r="C725" s="2" t="s">
        <v>24</v>
      </c>
    </row>
    <row r="726" spans="1:4" s="1" customFormat="1">
      <c r="A726" s="38">
        <v>726</v>
      </c>
      <c r="C726" s="2" t="s">
        <v>205</v>
      </c>
    </row>
    <row r="727" spans="1:4" s="1" customFormat="1">
      <c r="A727" s="38">
        <v>727</v>
      </c>
      <c r="C727" s="2" t="s">
        <v>8</v>
      </c>
    </row>
    <row r="728" spans="1:4" s="1" customFormat="1">
      <c r="A728" s="38">
        <v>728</v>
      </c>
      <c r="C728" s="2" t="s">
        <v>8</v>
      </c>
    </row>
    <row r="729" spans="1:4" s="1" customFormat="1">
      <c r="A729" s="38">
        <v>729</v>
      </c>
      <c r="C729" s="2" t="s">
        <v>8</v>
      </c>
    </row>
    <row r="730" spans="1:4" s="1" customFormat="1" ht="14.25" thickBot="1">
      <c r="A730" s="38">
        <v>730</v>
      </c>
      <c r="B730" s="42"/>
      <c r="C730" s="43" t="s">
        <v>8</v>
      </c>
    </row>
    <row r="731" spans="1:4" s="1" customFormat="1">
      <c r="A731" s="38">
        <v>731</v>
      </c>
      <c r="C731" s="41" t="s">
        <v>15</v>
      </c>
      <c r="D731" s="1" t="s">
        <v>220</v>
      </c>
    </row>
    <row r="732" spans="1:4" s="1" customFormat="1">
      <c r="A732" s="38">
        <v>732</v>
      </c>
      <c r="C732" s="2" t="s">
        <v>16</v>
      </c>
    </row>
    <row r="733" spans="1:4" s="1" customFormat="1">
      <c r="A733" s="38">
        <v>733</v>
      </c>
      <c r="C733" s="2" t="s">
        <v>17</v>
      </c>
    </row>
    <row r="734" spans="1:4" s="1" customFormat="1">
      <c r="A734" s="38">
        <v>734</v>
      </c>
      <c r="C734" s="2" t="s">
        <v>18</v>
      </c>
    </row>
    <row r="735" spans="1:4" s="1" customFormat="1">
      <c r="A735" s="38">
        <v>735</v>
      </c>
      <c r="C735" s="2" t="s">
        <v>19</v>
      </c>
    </row>
    <row r="736" spans="1:4" s="1" customFormat="1">
      <c r="A736" s="38">
        <v>736</v>
      </c>
      <c r="C736" s="2" t="s">
        <v>20</v>
      </c>
    </row>
    <row r="737" spans="1:3" s="1" customFormat="1">
      <c r="A737" s="38">
        <v>737</v>
      </c>
      <c r="C737" s="2" t="s">
        <v>21</v>
      </c>
    </row>
    <row r="738" spans="1:3" s="1" customFormat="1">
      <c r="A738" s="38">
        <v>738</v>
      </c>
      <c r="C738" s="2" t="s">
        <v>22</v>
      </c>
    </row>
    <row r="739" spans="1:3" s="1" customFormat="1">
      <c r="A739" s="38">
        <v>739</v>
      </c>
      <c r="C739" s="2" t="s">
        <v>23</v>
      </c>
    </row>
    <row r="740" spans="1:3" s="1" customFormat="1">
      <c r="A740" s="38">
        <v>740</v>
      </c>
      <c r="C740" s="2" t="s">
        <v>24</v>
      </c>
    </row>
    <row r="741" spans="1:3" s="1" customFormat="1">
      <c r="A741" s="38">
        <v>741</v>
      </c>
      <c r="C741" s="2" t="s">
        <v>205</v>
      </c>
    </row>
    <row r="742" spans="1:3" s="1" customFormat="1">
      <c r="A742" s="38">
        <v>742</v>
      </c>
      <c r="C742" s="2" t="s">
        <v>8</v>
      </c>
    </row>
    <row r="743" spans="1:3" s="1" customFormat="1">
      <c r="A743" s="38">
        <v>743</v>
      </c>
      <c r="C743" s="2" t="s">
        <v>8</v>
      </c>
    </row>
    <row r="744" spans="1:3" s="1" customFormat="1">
      <c r="A744" s="38">
        <v>744</v>
      </c>
      <c r="C744" s="2" t="s">
        <v>8</v>
      </c>
    </row>
    <row r="745" spans="1:3" s="1" customFormat="1" ht="14.25" thickBot="1">
      <c r="A745" s="38">
        <v>745</v>
      </c>
      <c r="B745" s="42"/>
      <c r="C745" s="43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F9" sqref="F9"/>
    </sheetView>
  </sheetViews>
  <sheetFormatPr defaultRowHeight="13.5"/>
  <sheetData>
    <row r="1" spans="1:1">
      <c r="A1" t="s">
        <v>522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A5E9F-F912-4DBB-BA33-67B446738E8E}">
  <sheetPr codeName="Sheet7"/>
  <dimension ref="A1:Y74"/>
  <sheetViews>
    <sheetView showGridLines="0" tabSelected="1" view="pageBreakPreview" zoomScaleSheetLayoutView="100" workbookViewId="0">
      <selection activeCell="C1" sqref="C1"/>
    </sheetView>
  </sheetViews>
  <sheetFormatPr defaultRowHeight="22.5" customHeight="1"/>
  <cols>
    <col min="1" max="1" width="0.625" style="56" customWidth="1"/>
    <col min="2" max="2" width="10.125" style="56" customWidth="1"/>
    <col min="3" max="3" width="12.125" style="56" customWidth="1"/>
    <col min="4" max="4" width="6.25" style="58" customWidth="1"/>
    <col min="5" max="6" width="5" style="58" customWidth="1"/>
    <col min="7" max="7" width="5.75" style="58" customWidth="1"/>
    <col min="8" max="8" width="6.375" style="58" customWidth="1"/>
    <col min="9" max="10" width="5.375" style="56" customWidth="1"/>
    <col min="11" max="12" width="5.5" style="56" customWidth="1"/>
    <col min="13" max="18" width="5.125" style="56" customWidth="1"/>
    <col min="19" max="19" width="0.625" style="56" customWidth="1"/>
    <col min="20" max="20" width="5.625" style="56" customWidth="1"/>
    <col min="21" max="21" width="6.375" style="56" customWidth="1"/>
    <col min="22" max="22" width="6" style="56" customWidth="1"/>
    <col min="23" max="23" width="5.5" style="58" customWidth="1"/>
    <col min="24" max="24" width="9.125" style="56" customWidth="1"/>
    <col min="25" max="25" width="0.75" style="56" customWidth="1"/>
    <col min="26" max="26" width="3.625" style="56" customWidth="1"/>
    <col min="27" max="258" width="8.75" style="56"/>
    <col min="259" max="259" width="10.125" style="56" customWidth="1"/>
    <col min="260" max="260" width="12.125" style="56" customWidth="1"/>
    <col min="261" max="261" width="6.25" style="56" customWidth="1"/>
    <col min="262" max="263" width="5" style="56" customWidth="1"/>
    <col min="264" max="264" width="5.75" style="56" customWidth="1"/>
    <col min="265" max="265" width="6.375" style="56" customWidth="1"/>
    <col min="266" max="267" width="5.375" style="56" customWidth="1"/>
    <col min="268" max="269" width="5.5" style="56" customWidth="1"/>
    <col min="270" max="275" width="5.125" style="56" customWidth="1"/>
    <col min="276" max="276" width="6.25" style="56" customWidth="1"/>
    <col min="277" max="277" width="6.375" style="56" customWidth="1"/>
    <col min="278" max="278" width="6" style="56" customWidth="1"/>
    <col min="279" max="279" width="5.5" style="56" customWidth="1"/>
    <col min="280" max="280" width="8.625" style="56" customWidth="1"/>
    <col min="281" max="281" width="0.75" style="56" customWidth="1"/>
    <col min="282" max="282" width="3.625" style="56" customWidth="1"/>
    <col min="283" max="514" width="8.75" style="56"/>
    <col min="515" max="515" width="10.125" style="56" customWidth="1"/>
    <col min="516" max="516" width="12.125" style="56" customWidth="1"/>
    <col min="517" max="517" width="6.25" style="56" customWidth="1"/>
    <col min="518" max="519" width="5" style="56" customWidth="1"/>
    <col min="520" max="520" width="5.75" style="56" customWidth="1"/>
    <col min="521" max="521" width="6.375" style="56" customWidth="1"/>
    <col min="522" max="523" width="5.375" style="56" customWidth="1"/>
    <col min="524" max="525" width="5.5" style="56" customWidth="1"/>
    <col min="526" max="531" width="5.125" style="56" customWidth="1"/>
    <col min="532" max="532" width="6.25" style="56" customWidth="1"/>
    <col min="533" max="533" width="6.375" style="56" customWidth="1"/>
    <col min="534" max="534" width="6" style="56" customWidth="1"/>
    <col min="535" max="535" width="5.5" style="56" customWidth="1"/>
    <col min="536" max="536" width="8.625" style="56" customWidth="1"/>
    <col min="537" max="537" width="0.75" style="56" customWidth="1"/>
    <col min="538" max="538" width="3.625" style="56" customWidth="1"/>
    <col min="539" max="770" width="8.75" style="56"/>
    <col min="771" max="771" width="10.125" style="56" customWidth="1"/>
    <col min="772" max="772" width="12.125" style="56" customWidth="1"/>
    <col min="773" max="773" width="6.25" style="56" customWidth="1"/>
    <col min="774" max="775" width="5" style="56" customWidth="1"/>
    <col min="776" max="776" width="5.75" style="56" customWidth="1"/>
    <col min="777" max="777" width="6.375" style="56" customWidth="1"/>
    <col min="778" max="779" width="5.375" style="56" customWidth="1"/>
    <col min="780" max="781" width="5.5" style="56" customWidth="1"/>
    <col min="782" max="787" width="5.125" style="56" customWidth="1"/>
    <col min="788" max="788" width="6.25" style="56" customWidth="1"/>
    <col min="789" max="789" width="6.375" style="56" customWidth="1"/>
    <col min="790" max="790" width="6" style="56" customWidth="1"/>
    <col min="791" max="791" width="5.5" style="56" customWidth="1"/>
    <col min="792" max="792" width="8.625" style="56" customWidth="1"/>
    <col min="793" max="793" width="0.75" style="56" customWidth="1"/>
    <col min="794" max="794" width="3.625" style="56" customWidth="1"/>
    <col min="795" max="1026" width="8.75" style="56"/>
    <col min="1027" max="1027" width="10.125" style="56" customWidth="1"/>
    <col min="1028" max="1028" width="12.125" style="56" customWidth="1"/>
    <col min="1029" max="1029" width="6.25" style="56" customWidth="1"/>
    <col min="1030" max="1031" width="5" style="56" customWidth="1"/>
    <col min="1032" max="1032" width="5.75" style="56" customWidth="1"/>
    <col min="1033" max="1033" width="6.375" style="56" customWidth="1"/>
    <col min="1034" max="1035" width="5.375" style="56" customWidth="1"/>
    <col min="1036" max="1037" width="5.5" style="56" customWidth="1"/>
    <col min="1038" max="1043" width="5.125" style="56" customWidth="1"/>
    <col min="1044" max="1044" width="6.25" style="56" customWidth="1"/>
    <col min="1045" max="1045" width="6.375" style="56" customWidth="1"/>
    <col min="1046" max="1046" width="6" style="56" customWidth="1"/>
    <col min="1047" max="1047" width="5.5" style="56" customWidth="1"/>
    <col min="1048" max="1048" width="8.625" style="56" customWidth="1"/>
    <col min="1049" max="1049" width="0.75" style="56" customWidth="1"/>
    <col min="1050" max="1050" width="3.625" style="56" customWidth="1"/>
    <col min="1051" max="1282" width="8.75" style="56"/>
    <col min="1283" max="1283" width="10.125" style="56" customWidth="1"/>
    <col min="1284" max="1284" width="12.125" style="56" customWidth="1"/>
    <col min="1285" max="1285" width="6.25" style="56" customWidth="1"/>
    <col min="1286" max="1287" width="5" style="56" customWidth="1"/>
    <col min="1288" max="1288" width="5.75" style="56" customWidth="1"/>
    <col min="1289" max="1289" width="6.375" style="56" customWidth="1"/>
    <col min="1290" max="1291" width="5.375" style="56" customWidth="1"/>
    <col min="1292" max="1293" width="5.5" style="56" customWidth="1"/>
    <col min="1294" max="1299" width="5.125" style="56" customWidth="1"/>
    <col min="1300" max="1300" width="6.25" style="56" customWidth="1"/>
    <col min="1301" max="1301" width="6.375" style="56" customWidth="1"/>
    <col min="1302" max="1302" width="6" style="56" customWidth="1"/>
    <col min="1303" max="1303" width="5.5" style="56" customWidth="1"/>
    <col min="1304" max="1304" width="8.625" style="56" customWidth="1"/>
    <col min="1305" max="1305" width="0.75" style="56" customWidth="1"/>
    <col min="1306" max="1306" width="3.625" style="56" customWidth="1"/>
    <col min="1307" max="1538" width="8.75" style="56"/>
    <col min="1539" max="1539" width="10.125" style="56" customWidth="1"/>
    <col min="1540" max="1540" width="12.125" style="56" customWidth="1"/>
    <col min="1541" max="1541" width="6.25" style="56" customWidth="1"/>
    <col min="1542" max="1543" width="5" style="56" customWidth="1"/>
    <col min="1544" max="1544" width="5.75" style="56" customWidth="1"/>
    <col min="1545" max="1545" width="6.375" style="56" customWidth="1"/>
    <col min="1546" max="1547" width="5.375" style="56" customWidth="1"/>
    <col min="1548" max="1549" width="5.5" style="56" customWidth="1"/>
    <col min="1550" max="1555" width="5.125" style="56" customWidth="1"/>
    <col min="1556" max="1556" width="6.25" style="56" customWidth="1"/>
    <col min="1557" max="1557" width="6.375" style="56" customWidth="1"/>
    <col min="1558" max="1558" width="6" style="56" customWidth="1"/>
    <col min="1559" max="1559" width="5.5" style="56" customWidth="1"/>
    <col min="1560" max="1560" width="8.625" style="56" customWidth="1"/>
    <col min="1561" max="1561" width="0.75" style="56" customWidth="1"/>
    <col min="1562" max="1562" width="3.625" style="56" customWidth="1"/>
    <col min="1563" max="1794" width="8.75" style="56"/>
    <col min="1795" max="1795" width="10.125" style="56" customWidth="1"/>
    <col min="1796" max="1796" width="12.125" style="56" customWidth="1"/>
    <col min="1797" max="1797" width="6.25" style="56" customWidth="1"/>
    <col min="1798" max="1799" width="5" style="56" customWidth="1"/>
    <col min="1800" max="1800" width="5.75" style="56" customWidth="1"/>
    <col min="1801" max="1801" width="6.375" style="56" customWidth="1"/>
    <col min="1802" max="1803" width="5.375" style="56" customWidth="1"/>
    <col min="1804" max="1805" width="5.5" style="56" customWidth="1"/>
    <col min="1806" max="1811" width="5.125" style="56" customWidth="1"/>
    <col min="1812" max="1812" width="6.25" style="56" customWidth="1"/>
    <col min="1813" max="1813" width="6.375" style="56" customWidth="1"/>
    <col min="1814" max="1814" width="6" style="56" customWidth="1"/>
    <col min="1815" max="1815" width="5.5" style="56" customWidth="1"/>
    <col min="1816" max="1816" width="8.625" style="56" customWidth="1"/>
    <col min="1817" max="1817" width="0.75" style="56" customWidth="1"/>
    <col min="1818" max="1818" width="3.625" style="56" customWidth="1"/>
    <col min="1819" max="2050" width="8.75" style="56"/>
    <col min="2051" max="2051" width="10.125" style="56" customWidth="1"/>
    <col min="2052" max="2052" width="12.125" style="56" customWidth="1"/>
    <col min="2053" max="2053" width="6.25" style="56" customWidth="1"/>
    <col min="2054" max="2055" width="5" style="56" customWidth="1"/>
    <col min="2056" max="2056" width="5.75" style="56" customWidth="1"/>
    <col min="2057" max="2057" width="6.375" style="56" customWidth="1"/>
    <col min="2058" max="2059" width="5.375" style="56" customWidth="1"/>
    <col min="2060" max="2061" width="5.5" style="56" customWidth="1"/>
    <col min="2062" max="2067" width="5.125" style="56" customWidth="1"/>
    <col min="2068" max="2068" width="6.25" style="56" customWidth="1"/>
    <col min="2069" max="2069" width="6.375" style="56" customWidth="1"/>
    <col min="2070" max="2070" width="6" style="56" customWidth="1"/>
    <col min="2071" max="2071" width="5.5" style="56" customWidth="1"/>
    <col min="2072" max="2072" width="8.625" style="56" customWidth="1"/>
    <col min="2073" max="2073" width="0.75" style="56" customWidth="1"/>
    <col min="2074" max="2074" width="3.625" style="56" customWidth="1"/>
    <col min="2075" max="2306" width="8.75" style="56"/>
    <col min="2307" max="2307" width="10.125" style="56" customWidth="1"/>
    <col min="2308" max="2308" width="12.125" style="56" customWidth="1"/>
    <col min="2309" max="2309" width="6.25" style="56" customWidth="1"/>
    <col min="2310" max="2311" width="5" style="56" customWidth="1"/>
    <col min="2312" max="2312" width="5.75" style="56" customWidth="1"/>
    <col min="2313" max="2313" width="6.375" style="56" customWidth="1"/>
    <col min="2314" max="2315" width="5.375" style="56" customWidth="1"/>
    <col min="2316" max="2317" width="5.5" style="56" customWidth="1"/>
    <col min="2318" max="2323" width="5.125" style="56" customWidth="1"/>
    <col min="2324" max="2324" width="6.25" style="56" customWidth="1"/>
    <col min="2325" max="2325" width="6.375" style="56" customWidth="1"/>
    <col min="2326" max="2326" width="6" style="56" customWidth="1"/>
    <col min="2327" max="2327" width="5.5" style="56" customWidth="1"/>
    <col min="2328" max="2328" width="8.625" style="56" customWidth="1"/>
    <col min="2329" max="2329" width="0.75" style="56" customWidth="1"/>
    <col min="2330" max="2330" width="3.625" style="56" customWidth="1"/>
    <col min="2331" max="2562" width="8.75" style="56"/>
    <col min="2563" max="2563" width="10.125" style="56" customWidth="1"/>
    <col min="2564" max="2564" width="12.125" style="56" customWidth="1"/>
    <col min="2565" max="2565" width="6.25" style="56" customWidth="1"/>
    <col min="2566" max="2567" width="5" style="56" customWidth="1"/>
    <col min="2568" max="2568" width="5.75" style="56" customWidth="1"/>
    <col min="2569" max="2569" width="6.375" style="56" customWidth="1"/>
    <col min="2570" max="2571" width="5.375" style="56" customWidth="1"/>
    <col min="2572" max="2573" width="5.5" style="56" customWidth="1"/>
    <col min="2574" max="2579" width="5.125" style="56" customWidth="1"/>
    <col min="2580" max="2580" width="6.25" style="56" customWidth="1"/>
    <col min="2581" max="2581" width="6.375" style="56" customWidth="1"/>
    <col min="2582" max="2582" width="6" style="56" customWidth="1"/>
    <col min="2583" max="2583" width="5.5" style="56" customWidth="1"/>
    <col min="2584" max="2584" width="8.625" style="56" customWidth="1"/>
    <col min="2585" max="2585" width="0.75" style="56" customWidth="1"/>
    <col min="2586" max="2586" width="3.625" style="56" customWidth="1"/>
    <col min="2587" max="2818" width="8.75" style="56"/>
    <col min="2819" max="2819" width="10.125" style="56" customWidth="1"/>
    <col min="2820" max="2820" width="12.125" style="56" customWidth="1"/>
    <col min="2821" max="2821" width="6.25" style="56" customWidth="1"/>
    <col min="2822" max="2823" width="5" style="56" customWidth="1"/>
    <col min="2824" max="2824" width="5.75" style="56" customWidth="1"/>
    <col min="2825" max="2825" width="6.375" style="56" customWidth="1"/>
    <col min="2826" max="2827" width="5.375" style="56" customWidth="1"/>
    <col min="2828" max="2829" width="5.5" style="56" customWidth="1"/>
    <col min="2830" max="2835" width="5.125" style="56" customWidth="1"/>
    <col min="2836" max="2836" width="6.25" style="56" customWidth="1"/>
    <col min="2837" max="2837" width="6.375" style="56" customWidth="1"/>
    <col min="2838" max="2838" width="6" style="56" customWidth="1"/>
    <col min="2839" max="2839" width="5.5" style="56" customWidth="1"/>
    <col min="2840" max="2840" width="8.625" style="56" customWidth="1"/>
    <col min="2841" max="2841" width="0.75" style="56" customWidth="1"/>
    <col min="2842" max="2842" width="3.625" style="56" customWidth="1"/>
    <col min="2843" max="3074" width="8.75" style="56"/>
    <col min="3075" max="3075" width="10.125" style="56" customWidth="1"/>
    <col min="3076" max="3076" width="12.125" style="56" customWidth="1"/>
    <col min="3077" max="3077" width="6.25" style="56" customWidth="1"/>
    <col min="3078" max="3079" width="5" style="56" customWidth="1"/>
    <col min="3080" max="3080" width="5.75" style="56" customWidth="1"/>
    <col min="3081" max="3081" width="6.375" style="56" customWidth="1"/>
    <col min="3082" max="3083" width="5.375" style="56" customWidth="1"/>
    <col min="3084" max="3085" width="5.5" style="56" customWidth="1"/>
    <col min="3086" max="3091" width="5.125" style="56" customWidth="1"/>
    <col min="3092" max="3092" width="6.25" style="56" customWidth="1"/>
    <col min="3093" max="3093" width="6.375" style="56" customWidth="1"/>
    <col min="3094" max="3094" width="6" style="56" customWidth="1"/>
    <col min="3095" max="3095" width="5.5" style="56" customWidth="1"/>
    <col min="3096" max="3096" width="8.625" style="56" customWidth="1"/>
    <col min="3097" max="3097" width="0.75" style="56" customWidth="1"/>
    <col min="3098" max="3098" width="3.625" style="56" customWidth="1"/>
    <col min="3099" max="3330" width="8.75" style="56"/>
    <col min="3331" max="3331" width="10.125" style="56" customWidth="1"/>
    <col min="3332" max="3332" width="12.125" style="56" customWidth="1"/>
    <col min="3333" max="3333" width="6.25" style="56" customWidth="1"/>
    <col min="3334" max="3335" width="5" style="56" customWidth="1"/>
    <col min="3336" max="3336" width="5.75" style="56" customWidth="1"/>
    <col min="3337" max="3337" width="6.375" style="56" customWidth="1"/>
    <col min="3338" max="3339" width="5.375" style="56" customWidth="1"/>
    <col min="3340" max="3341" width="5.5" style="56" customWidth="1"/>
    <col min="3342" max="3347" width="5.125" style="56" customWidth="1"/>
    <col min="3348" max="3348" width="6.25" style="56" customWidth="1"/>
    <col min="3349" max="3349" width="6.375" style="56" customWidth="1"/>
    <col min="3350" max="3350" width="6" style="56" customWidth="1"/>
    <col min="3351" max="3351" width="5.5" style="56" customWidth="1"/>
    <col min="3352" max="3352" width="8.625" style="56" customWidth="1"/>
    <col min="3353" max="3353" width="0.75" style="56" customWidth="1"/>
    <col min="3354" max="3354" width="3.625" style="56" customWidth="1"/>
    <col min="3355" max="3586" width="8.75" style="56"/>
    <col min="3587" max="3587" width="10.125" style="56" customWidth="1"/>
    <col min="3588" max="3588" width="12.125" style="56" customWidth="1"/>
    <col min="3589" max="3589" width="6.25" style="56" customWidth="1"/>
    <col min="3590" max="3591" width="5" style="56" customWidth="1"/>
    <col min="3592" max="3592" width="5.75" style="56" customWidth="1"/>
    <col min="3593" max="3593" width="6.375" style="56" customWidth="1"/>
    <col min="3594" max="3595" width="5.375" style="56" customWidth="1"/>
    <col min="3596" max="3597" width="5.5" style="56" customWidth="1"/>
    <col min="3598" max="3603" width="5.125" style="56" customWidth="1"/>
    <col min="3604" max="3604" width="6.25" style="56" customWidth="1"/>
    <col min="3605" max="3605" width="6.375" style="56" customWidth="1"/>
    <col min="3606" max="3606" width="6" style="56" customWidth="1"/>
    <col min="3607" max="3607" width="5.5" style="56" customWidth="1"/>
    <col min="3608" max="3608" width="8.625" style="56" customWidth="1"/>
    <col min="3609" max="3609" width="0.75" style="56" customWidth="1"/>
    <col min="3610" max="3610" width="3.625" style="56" customWidth="1"/>
    <col min="3611" max="3842" width="8.75" style="56"/>
    <col min="3843" max="3843" width="10.125" style="56" customWidth="1"/>
    <col min="3844" max="3844" width="12.125" style="56" customWidth="1"/>
    <col min="3845" max="3845" width="6.25" style="56" customWidth="1"/>
    <col min="3846" max="3847" width="5" style="56" customWidth="1"/>
    <col min="3848" max="3848" width="5.75" style="56" customWidth="1"/>
    <col min="3849" max="3849" width="6.375" style="56" customWidth="1"/>
    <col min="3850" max="3851" width="5.375" style="56" customWidth="1"/>
    <col min="3852" max="3853" width="5.5" style="56" customWidth="1"/>
    <col min="3854" max="3859" width="5.125" style="56" customWidth="1"/>
    <col min="3860" max="3860" width="6.25" style="56" customWidth="1"/>
    <col min="3861" max="3861" width="6.375" style="56" customWidth="1"/>
    <col min="3862" max="3862" width="6" style="56" customWidth="1"/>
    <col min="3863" max="3863" width="5.5" style="56" customWidth="1"/>
    <col min="3864" max="3864" width="8.625" style="56" customWidth="1"/>
    <col min="3865" max="3865" width="0.75" style="56" customWidth="1"/>
    <col min="3866" max="3866" width="3.625" style="56" customWidth="1"/>
    <col min="3867" max="4098" width="8.75" style="56"/>
    <col min="4099" max="4099" width="10.125" style="56" customWidth="1"/>
    <col min="4100" max="4100" width="12.125" style="56" customWidth="1"/>
    <col min="4101" max="4101" width="6.25" style="56" customWidth="1"/>
    <col min="4102" max="4103" width="5" style="56" customWidth="1"/>
    <col min="4104" max="4104" width="5.75" style="56" customWidth="1"/>
    <col min="4105" max="4105" width="6.375" style="56" customWidth="1"/>
    <col min="4106" max="4107" width="5.375" style="56" customWidth="1"/>
    <col min="4108" max="4109" width="5.5" style="56" customWidth="1"/>
    <col min="4110" max="4115" width="5.125" style="56" customWidth="1"/>
    <col min="4116" max="4116" width="6.25" style="56" customWidth="1"/>
    <col min="4117" max="4117" width="6.375" style="56" customWidth="1"/>
    <col min="4118" max="4118" width="6" style="56" customWidth="1"/>
    <col min="4119" max="4119" width="5.5" style="56" customWidth="1"/>
    <col min="4120" max="4120" width="8.625" style="56" customWidth="1"/>
    <col min="4121" max="4121" width="0.75" style="56" customWidth="1"/>
    <col min="4122" max="4122" width="3.625" style="56" customWidth="1"/>
    <col min="4123" max="4354" width="8.75" style="56"/>
    <col min="4355" max="4355" width="10.125" style="56" customWidth="1"/>
    <col min="4356" max="4356" width="12.125" style="56" customWidth="1"/>
    <col min="4357" max="4357" width="6.25" style="56" customWidth="1"/>
    <col min="4358" max="4359" width="5" style="56" customWidth="1"/>
    <col min="4360" max="4360" width="5.75" style="56" customWidth="1"/>
    <col min="4361" max="4361" width="6.375" style="56" customWidth="1"/>
    <col min="4362" max="4363" width="5.375" style="56" customWidth="1"/>
    <col min="4364" max="4365" width="5.5" style="56" customWidth="1"/>
    <col min="4366" max="4371" width="5.125" style="56" customWidth="1"/>
    <col min="4372" max="4372" width="6.25" style="56" customWidth="1"/>
    <col min="4373" max="4373" width="6.375" style="56" customWidth="1"/>
    <col min="4374" max="4374" width="6" style="56" customWidth="1"/>
    <col min="4375" max="4375" width="5.5" style="56" customWidth="1"/>
    <col min="4376" max="4376" width="8.625" style="56" customWidth="1"/>
    <col min="4377" max="4377" width="0.75" style="56" customWidth="1"/>
    <col min="4378" max="4378" width="3.625" style="56" customWidth="1"/>
    <col min="4379" max="4610" width="8.75" style="56"/>
    <col min="4611" max="4611" width="10.125" style="56" customWidth="1"/>
    <col min="4612" max="4612" width="12.125" style="56" customWidth="1"/>
    <col min="4613" max="4613" width="6.25" style="56" customWidth="1"/>
    <col min="4614" max="4615" width="5" style="56" customWidth="1"/>
    <col min="4616" max="4616" width="5.75" style="56" customWidth="1"/>
    <col min="4617" max="4617" width="6.375" style="56" customWidth="1"/>
    <col min="4618" max="4619" width="5.375" style="56" customWidth="1"/>
    <col min="4620" max="4621" width="5.5" style="56" customWidth="1"/>
    <col min="4622" max="4627" width="5.125" style="56" customWidth="1"/>
    <col min="4628" max="4628" width="6.25" style="56" customWidth="1"/>
    <col min="4629" max="4629" width="6.375" style="56" customWidth="1"/>
    <col min="4630" max="4630" width="6" style="56" customWidth="1"/>
    <col min="4631" max="4631" width="5.5" style="56" customWidth="1"/>
    <col min="4632" max="4632" width="8.625" style="56" customWidth="1"/>
    <col min="4633" max="4633" width="0.75" style="56" customWidth="1"/>
    <col min="4634" max="4634" width="3.625" style="56" customWidth="1"/>
    <col min="4635" max="4866" width="8.75" style="56"/>
    <col min="4867" max="4867" width="10.125" style="56" customWidth="1"/>
    <col min="4868" max="4868" width="12.125" style="56" customWidth="1"/>
    <col min="4869" max="4869" width="6.25" style="56" customWidth="1"/>
    <col min="4870" max="4871" width="5" style="56" customWidth="1"/>
    <col min="4872" max="4872" width="5.75" style="56" customWidth="1"/>
    <col min="4873" max="4873" width="6.375" style="56" customWidth="1"/>
    <col min="4874" max="4875" width="5.375" style="56" customWidth="1"/>
    <col min="4876" max="4877" width="5.5" style="56" customWidth="1"/>
    <col min="4878" max="4883" width="5.125" style="56" customWidth="1"/>
    <col min="4884" max="4884" width="6.25" style="56" customWidth="1"/>
    <col min="4885" max="4885" width="6.375" style="56" customWidth="1"/>
    <col min="4886" max="4886" width="6" style="56" customWidth="1"/>
    <col min="4887" max="4887" width="5.5" style="56" customWidth="1"/>
    <col min="4888" max="4888" width="8.625" style="56" customWidth="1"/>
    <col min="4889" max="4889" width="0.75" style="56" customWidth="1"/>
    <col min="4890" max="4890" width="3.625" style="56" customWidth="1"/>
    <col min="4891" max="5122" width="8.75" style="56"/>
    <col min="5123" max="5123" width="10.125" style="56" customWidth="1"/>
    <col min="5124" max="5124" width="12.125" style="56" customWidth="1"/>
    <col min="5125" max="5125" width="6.25" style="56" customWidth="1"/>
    <col min="5126" max="5127" width="5" style="56" customWidth="1"/>
    <col min="5128" max="5128" width="5.75" style="56" customWidth="1"/>
    <col min="5129" max="5129" width="6.375" style="56" customWidth="1"/>
    <col min="5130" max="5131" width="5.375" style="56" customWidth="1"/>
    <col min="5132" max="5133" width="5.5" style="56" customWidth="1"/>
    <col min="5134" max="5139" width="5.125" style="56" customWidth="1"/>
    <col min="5140" max="5140" width="6.25" style="56" customWidth="1"/>
    <col min="5141" max="5141" width="6.375" style="56" customWidth="1"/>
    <col min="5142" max="5142" width="6" style="56" customWidth="1"/>
    <col min="5143" max="5143" width="5.5" style="56" customWidth="1"/>
    <col min="5144" max="5144" width="8.625" style="56" customWidth="1"/>
    <col min="5145" max="5145" width="0.75" style="56" customWidth="1"/>
    <col min="5146" max="5146" width="3.625" style="56" customWidth="1"/>
    <col min="5147" max="5378" width="8.75" style="56"/>
    <col min="5379" max="5379" width="10.125" style="56" customWidth="1"/>
    <col min="5380" max="5380" width="12.125" style="56" customWidth="1"/>
    <col min="5381" max="5381" width="6.25" style="56" customWidth="1"/>
    <col min="5382" max="5383" width="5" style="56" customWidth="1"/>
    <col min="5384" max="5384" width="5.75" style="56" customWidth="1"/>
    <col min="5385" max="5385" width="6.375" style="56" customWidth="1"/>
    <col min="5386" max="5387" width="5.375" style="56" customWidth="1"/>
    <col min="5388" max="5389" width="5.5" style="56" customWidth="1"/>
    <col min="5390" max="5395" width="5.125" style="56" customWidth="1"/>
    <col min="5396" max="5396" width="6.25" style="56" customWidth="1"/>
    <col min="5397" max="5397" width="6.375" style="56" customWidth="1"/>
    <col min="5398" max="5398" width="6" style="56" customWidth="1"/>
    <col min="5399" max="5399" width="5.5" style="56" customWidth="1"/>
    <col min="5400" max="5400" width="8.625" style="56" customWidth="1"/>
    <col min="5401" max="5401" width="0.75" style="56" customWidth="1"/>
    <col min="5402" max="5402" width="3.625" style="56" customWidth="1"/>
    <col min="5403" max="5634" width="8.75" style="56"/>
    <col min="5635" max="5635" width="10.125" style="56" customWidth="1"/>
    <col min="5636" max="5636" width="12.125" style="56" customWidth="1"/>
    <col min="5637" max="5637" width="6.25" style="56" customWidth="1"/>
    <col min="5638" max="5639" width="5" style="56" customWidth="1"/>
    <col min="5640" max="5640" width="5.75" style="56" customWidth="1"/>
    <col min="5641" max="5641" width="6.375" style="56" customWidth="1"/>
    <col min="5642" max="5643" width="5.375" style="56" customWidth="1"/>
    <col min="5644" max="5645" width="5.5" style="56" customWidth="1"/>
    <col min="5646" max="5651" width="5.125" style="56" customWidth="1"/>
    <col min="5652" max="5652" width="6.25" style="56" customWidth="1"/>
    <col min="5653" max="5653" width="6.375" style="56" customWidth="1"/>
    <col min="5654" max="5654" width="6" style="56" customWidth="1"/>
    <col min="5655" max="5655" width="5.5" style="56" customWidth="1"/>
    <col min="5656" max="5656" width="8.625" style="56" customWidth="1"/>
    <col min="5657" max="5657" width="0.75" style="56" customWidth="1"/>
    <col min="5658" max="5658" width="3.625" style="56" customWidth="1"/>
    <col min="5659" max="5890" width="8.75" style="56"/>
    <col min="5891" max="5891" width="10.125" style="56" customWidth="1"/>
    <col min="5892" max="5892" width="12.125" style="56" customWidth="1"/>
    <col min="5893" max="5893" width="6.25" style="56" customWidth="1"/>
    <col min="5894" max="5895" width="5" style="56" customWidth="1"/>
    <col min="5896" max="5896" width="5.75" style="56" customWidth="1"/>
    <col min="5897" max="5897" width="6.375" style="56" customWidth="1"/>
    <col min="5898" max="5899" width="5.375" style="56" customWidth="1"/>
    <col min="5900" max="5901" width="5.5" style="56" customWidth="1"/>
    <col min="5902" max="5907" width="5.125" style="56" customWidth="1"/>
    <col min="5908" max="5908" width="6.25" style="56" customWidth="1"/>
    <col min="5909" max="5909" width="6.375" style="56" customWidth="1"/>
    <col min="5910" max="5910" width="6" style="56" customWidth="1"/>
    <col min="5911" max="5911" width="5.5" style="56" customWidth="1"/>
    <col min="5912" max="5912" width="8.625" style="56" customWidth="1"/>
    <col min="5913" max="5913" width="0.75" style="56" customWidth="1"/>
    <col min="5914" max="5914" width="3.625" style="56" customWidth="1"/>
    <col min="5915" max="6146" width="8.75" style="56"/>
    <col min="6147" max="6147" width="10.125" style="56" customWidth="1"/>
    <col min="6148" max="6148" width="12.125" style="56" customWidth="1"/>
    <col min="6149" max="6149" width="6.25" style="56" customWidth="1"/>
    <col min="6150" max="6151" width="5" style="56" customWidth="1"/>
    <col min="6152" max="6152" width="5.75" style="56" customWidth="1"/>
    <col min="6153" max="6153" width="6.375" style="56" customWidth="1"/>
    <col min="6154" max="6155" width="5.375" style="56" customWidth="1"/>
    <col min="6156" max="6157" width="5.5" style="56" customWidth="1"/>
    <col min="6158" max="6163" width="5.125" style="56" customWidth="1"/>
    <col min="6164" max="6164" width="6.25" style="56" customWidth="1"/>
    <col min="6165" max="6165" width="6.375" style="56" customWidth="1"/>
    <col min="6166" max="6166" width="6" style="56" customWidth="1"/>
    <col min="6167" max="6167" width="5.5" style="56" customWidth="1"/>
    <col min="6168" max="6168" width="8.625" style="56" customWidth="1"/>
    <col min="6169" max="6169" width="0.75" style="56" customWidth="1"/>
    <col min="6170" max="6170" width="3.625" style="56" customWidth="1"/>
    <col min="6171" max="6402" width="8.75" style="56"/>
    <col min="6403" max="6403" width="10.125" style="56" customWidth="1"/>
    <col min="6404" max="6404" width="12.125" style="56" customWidth="1"/>
    <col min="6405" max="6405" width="6.25" style="56" customWidth="1"/>
    <col min="6406" max="6407" width="5" style="56" customWidth="1"/>
    <col min="6408" max="6408" width="5.75" style="56" customWidth="1"/>
    <col min="6409" max="6409" width="6.375" style="56" customWidth="1"/>
    <col min="6410" max="6411" width="5.375" style="56" customWidth="1"/>
    <col min="6412" max="6413" width="5.5" style="56" customWidth="1"/>
    <col min="6414" max="6419" width="5.125" style="56" customWidth="1"/>
    <col min="6420" max="6420" width="6.25" style="56" customWidth="1"/>
    <col min="6421" max="6421" width="6.375" style="56" customWidth="1"/>
    <col min="6422" max="6422" width="6" style="56" customWidth="1"/>
    <col min="6423" max="6423" width="5.5" style="56" customWidth="1"/>
    <col min="6424" max="6424" width="8.625" style="56" customWidth="1"/>
    <col min="6425" max="6425" width="0.75" style="56" customWidth="1"/>
    <col min="6426" max="6426" width="3.625" style="56" customWidth="1"/>
    <col min="6427" max="6658" width="8.75" style="56"/>
    <col min="6659" max="6659" width="10.125" style="56" customWidth="1"/>
    <col min="6660" max="6660" width="12.125" style="56" customWidth="1"/>
    <col min="6661" max="6661" width="6.25" style="56" customWidth="1"/>
    <col min="6662" max="6663" width="5" style="56" customWidth="1"/>
    <col min="6664" max="6664" width="5.75" style="56" customWidth="1"/>
    <col min="6665" max="6665" width="6.375" style="56" customWidth="1"/>
    <col min="6666" max="6667" width="5.375" style="56" customWidth="1"/>
    <col min="6668" max="6669" width="5.5" style="56" customWidth="1"/>
    <col min="6670" max="6675" width="5.125" style="56" customWidth="1"/>
    <col min="6676" max="6676" width="6.25" style="56" customWidth="1"/>
    <col min="6677" max="6677" width="6.375" style="56" customWidth="1"/>
    <col min="6678" max="6678" width="6" style="56" customWidth="1"/>
    <col min="6679" max="6679" width="5.5" style="56" customWidth="1"/>
    <col min="6680" max="6680" width="8.625" style="56" customWidth="1"/>
    <col min="6681" max="6681" width="0.75" style="56" customWidth="1"/>
    <col min="6682" max="6682" width="3.625" style="56" customWidth="1"/>
    <col min="6683" max="6914" width="8.75" style="56"/>
    <col min="6915" max="6915" width="10.125" style="56" customWidth="1"/>
    <col min="6916" max="6916" width="12.125" style="56" customWidth="1"/>
    <col min="6917" max="6917" width="6.25" style="56" customWidth="1"/>
    <col min="6918" max="6919" width="5" style="56" customWidth="1"/>
    <col min="6920" max="6920" width="5.75" style="56" customWidth="1"/>
    <col min="6921" max="6921" width="6.375" style="56" customWidth="1"/>
    <col min="6922" max="6923" width="5.375" style="56" customWidth="1"/>
    <col min="6924" max="6925" width="5.5" style="56" customWidth="1"/>
    <col min="6926" max="6931" width="5.125" style="56" customWidth="1"/>
    <col min="6932" max="6932" width="6.25" style="56" customWidth="1"/>
    <col min="6933" max="6933" width="6.375" style="56" customWidth="1"/>
    <col min="6934" max="6934" width="6" style="56" customWidth="1"/>
    <col min="6935" max="6935" width="5.5" style="56" customWidth="1"/>
    <col min="6936" max="6936" width="8.625" style="56" customWidth="1"/>
    <col min="6937" max="6937" width="0.75" style="56" customWidth="1"/>
    <col min="6938" max="6938" width="3.625" style="56" customWidth="1"/>
    <col min="6939" max="7170" width="8.75" style="56"/>
    <col min="7171" max="7171" width="10.125" style="56" customWidth="1"/>
    <col min="7172" max="7172" width="12.125" style="56" customWidth="1"/>
    <col min="7173" max="7173" width="6.25" style="56" customWidth="1"/>
    <col min="7174" max="7175" width="5" style="56" customWidth="1"/>
    <col min="7176" max="7176" width="5.75" style="56" customWidth="1"/>
    <col min="7177" max="7177" width="6.375" style="56" customWidth="1"/>
    <col min="7178" max="7179" width="5.375" style="56" customWidth="1"/>
    <col min="7180" max="7181" width="5.5" style="56" customWidth="1"/>
    <col min="7182" max="7187" width="5.125" style="56" customWidth="1"/>
    <col min="7188" max="7188" width="6.25" style="56" customWidth="1"/>
    <col min="7189" max="7189" width="6.375" style="56" customWidth="1"/>
    <col min="7190" max="7190" width="6" style="56" customWidth="1"/>
    <col min="7191" max="7191" width="5.5" style="56" customWidth="1"/>
    <col min="7192" max="7192" width="8.625" style="56" customWidth="1"/>
    <col min="7193" max="7193" width="0.75" style="56" customWidth="1"/>
    <col min="7194" max="7194" width="3.625" style="56" customWidth="1"/>
    <col min="7195" max="7426" width="8.75" style="56"/>
    <col min="7427" max="7427" width="10.125" style="56" customWidth="1"/>
    <col min="7428" max="7428" width="12.125" style="56" customWidth="1"/>
    <col min="7429" max="7429" width="6.25" style="56" customWidth="1"/>
    <col min="7430" max="7431" width="5" style="56" customWidth="1"/>
    <col min="7432" max="7432" width="5.75" style="56" customWidth="1"/>
    <col min="7433" max="7433" width="6.375" style="56" customWidth="1"/>
    <col min="7434" max="7435" width="5.375" style="56" customWidth="1"/>
    <col min="7436" max="7437" width="5.5" style="56" customWidth="1"/>
    <col min="7438" max="7443" width="5.125" style="56" customWidth="1"/>
    <col min="7444" max="7444" width="6.25" style="56" customWidth="1"/>
    <col min="7445" max="7445" width="6.375" style="56" customWidth="1"/>
    <col min="7446" max="7446" width="6" style="56" customWidth="1"/>
    <col min="7447" max="7447" width="5.5" style="56" customWidth="1"/>
    <col min="7448" max="7448" width="8.625" style="56" customWidth="1"/>
    <col min="7449" max="7449" width="0.75" style="56" customWidth="1"/>
    <col min="7450" max="7450" width="3.625" style="56" customWidth="1"/>
    <col min="7451" max="7682" width="8.75" style="56"/>
    <col min="7683" max="7683" width="10.125" style="56" customWidth="1"/>
    <col min="7684" max="7684" width="12.125" style="56" customWidth="1"/>
    <col min="7685" max="7685" width="6.25" style="56" customWidth="1"/>
    <col min="7686" max="7687" width="5" style="56" customWidth="1"/>
    <col min="7688" max="7688" width="5.75" style="56" customWidth="1"/>
    <col min="7689" max="7689" width="6.375" style="56" customWidth="1"/>
    <col min="7690" max="7691" width="5.375" style="56" customWidth="1"/>
    <col min="7692" max="7693" width="5.5" style="56" customWidth="1"/>
    <col min="7694" max="7699" width="5.125" style="56" customWidth="1"/>
    <col min="7700" max="7700" width="6.25" style="56" customWidth="1"/>
    <col min="7701" max="7701" width="6.375" style="56" customWidth="1"/>
    <col min="7702" max="7702" width="6" style="56" customWidth="1"/>
    <col min="7703" max="7703" width="5.5" style="56" customWidth="1"/>
    <col min="7704" max="7704" width="8.625" style="56" customWidth="1"/>
    <col min="7705" max="7705" width="0.75" style="56" customWidth="1"/>
    <col min="7706" max="7706" width="3.625" style="56" customWidth="1"/>
    <col min="7707" max="7938" width="8.75" style="56"/>
    <col min="7939" max="7939" width="10.125" style="56" customWidth="1"/>
    <col min="7940" max="7940" width="12.125" style="56" customWidth="1"/>
    <col min="7941" max="7941" width="6.25" style="56" customWidth="1"/>
    <col min="7942" max="7943" width="5" style="56" customWidth="1"/>
    <col min="7944" max="7944" width="5.75" style="56" customWidth="1"/>
    <col min="7945" max="7945" width="6.375" style="56" customWidth="1"/>
    <col min="7946" max="7947" width="5.375" style="56" customWidth="1"/>
    <col min="7948" max="7949" width="5.5" style="56" customWidth="1"/>
    <col min="7950" max="7955" width="5.125" style="56" customWidth="1"/>
    <col min="7956" max="7956" width="6.25" style="56" customWidth="1"/>
    <col min="7957" max="7957" width="6.375" style="56" customWidth="1"/>
    <col min="7958" max="7958" width="6" style="56" customWidth="1"/>
    <col min="7959" max="7959" width="5.5" style="56" customWidth="1"/>
    <col min="7960" max="7960" width="8.625" style="56" customWidth="1"/>
    <col min="7961" max="7961" width="0.75" style="56" customWidth="1"/>
    <col min="7962" max="7962" width="3.625" style="56" customWidth="1"/>
    <col min="7963" max="8194" width="8.75" style="56"/>
    <col min="8195" max="8195" width="10.125" style="56" customWidth="1"/>
    <col min="8196" max="8196" width="12.125" style="56" customWidth="1"/>
    <col min="8197" max="8197" width="6.25" style="56" customWidth="1"/>
    <col min="8198" max="8199" width="5" style="56" customWidth="1"/>
    <col min="8200" max="8200" width="5.75" style="56" customWidth="1"/>
    <col min="8201" max="8201" width="6.375" style="56" customWidth="1"/>
    <col min="8202" max="8203" width="5.375" style="56" customWidth="1"/>
    <col min="8204" max="8205" width="5.5" style="56" customWidth="1"/>
    <col min="8206" max="8211" width="5.125" style="56" customWidth="1"/>
    <col min="8212" max="8212" width="6.25" style="56" customWidth="1"/>
    <col min="8213" max="8213" width="6.375" style="56" customWidth="1"/>
    <col min="8214" max="8214" width="6" style="56" customWidth="1"/>
    <col min="8215" max="8215" width="5.5" style="56" customWidth="1"/>
    <col min="8216" max="8216" width="8.625" style="56" customWidth="1"/>
    <col min="8217" max="8217" width="0.75" style="56" customWidth="1"/>
    <col min="8218" max="8218" width="3.625" style="56" customWidth="1"/>
    <col min="8219" max="8450" width="8.75" style="56"/>
    <col min="8451" max="8451" width="10.125" style="56" customWidth="1"/>
    <col min="8452" max="8452" width="12.125" style="56" customWidth="1"/>
    <col min="8453" max="8453" width="6.25" style="56" customWidth="1"/>
    <col min="8454" max="8455" width="5" style="56" customWidth="1"/>
    <col min="8456" max="8456" width="5.75" style="56" customWidth="1"/>
    <col min="8457" max="8457" width="6.375" style="56" customWidth="1"/>
    <col min="8458" max="8459" width="5.375" style="56" customWidth="1"/>
    <col min="8460" max="8461" width="5.5" style="56" customWidth="1"/>
    <col min="8462" max="8467" width="5.125" style="56" customWidth="1"/>
    <col min="8468" max="8468" width="6.25" style="56" customWidth="1"/>
    <col min="8469" max="8469" width="6.375" style="56" customWidth="1"/>
    <col min="8470" max="8470" width="6" style="56" customWidth="1"/>
    <col min="8471" max="8471" width="5.5" style="56" customWidth="1"/>
    <col min="8472" max="8472" width="8.625" style="56" customWidth="1"/>
    <col min="8473" max="8473" width="0.75" style="56" customWidth="1"/>
    <col min="8474" max="8474" width="3.625" style="56" customWidth="1"/>
    <col min="8475" max="8706" width="8.75" style="56"/>
    <col min="8707" max="8707" width="10.125" style="56" customWidth="1"/>
    <col min="8708" max="8708" width="12.125" style="56" customWidth="1"/>
    <col min="8709" max="8709" width="6.25" style="56" customWidth="1"/>
    <col min="8710" max="8711" width="5" style="56" customWidth="1"/>
    <col min="8712" max="8712" width="5.75" style="56" customWidth="1"/>
    <col min="8713" max="8713" width="6.375" style="56" customWidth="1"/>
    <col min="8714" max="8715" width="5.375" style="56" customWidth="1"/>
    <col min="8716" max="8717" width="5.5" style="56" customWidth="1"/>
    <col min="8718" max="8723" width="5.125" style="56" customWidth="1"/>
    <col min="8724" max="8724" width="6.25" style="56" customWidth="1"/>
    <col min="8725" max="8725" width="6.375" style="56" customWidth="1"/>
    <col min="8726" max="8726" width="6" style="56" customWidth="1"/>
    <col min="8727" max="8727" width="5.5" style="56" customWidth="1"/>
    <col min="8728" max="8728" width="8.625" style="56" customWidth="1"/>
    <col min="8729" max="8729" width="0.75" style="56" customWidth="1"/>
    <col min="8730" max="8730" width="3.625" style="56" customWidth="1"/>
    <col min="8731" max="8962" width="8.75" style="56"/>
    <col min="8963" max="8963" width="10.125" style="56" customWidth="1"/>
    <col min="8964" max="8964" width="12.125" style="56" customWidth="1"/>
    <col min="8965" max="8965" width="6.25" style="56" customWidth="1"/>
    <col min="8966" max="8967" width="5" style="56" customWidth="1"/>
    <col min="8968" max="8968" width="5.75" style="56" customWidth="1"/>
    <col min="8969" max="8969" width="6.375" style="56" customWidth="1"/>
    <col min="8970" max="8971" width="5.375" style="56" customWidth="1"/>
    <col min="8972" max="8973" width="5.5" style="56" customWidth="1"/>
    <col min="8974" max="8979" width="5.125" style="56" customWidth="1"/>
    <col min="8980" max="8980" width="6.25" style="56" customWidth="1"/>
    <col min="8981" max="8981" width="6.375" style="56" customWidth="1"/>
    <col min="8982" max="8982" width="6" style="56" customWidth="1"/>
    <col min="8983" max="8983" width="5.5" style="56" customWidth="1"/>
    <col min="8984" max="8984" width="8.625" style="56" customWidth="1"/>
    <col min="8985" max="8985" width="0.75" style="56" customWidth="1"/>
    <col min="8986" max="8986" width="3.625" style="56" customWidth="1"/>
    <col min="8987" max="9218" width="8.75" style="56"/>
    <col min="9219" max="9219" width="10.125" style="56" customWidth="1"/>
    <col min="9220" max="9220" width="12.125" style="56" customWidth="1"/>
    <col min="9221" max="9221" width="6.25" style="56" customWidth="1"/>
    <col min="9222" max="9223" width="5" style="56" customWidth="1"/>
    <col min="9224" max="9224" width="5.75" style="56" customWidth="1"/>
    <col min="9225" max="9225" width="6.375" style="56" customWidth="1"/>
    <col min="9226" max="9227" width="5.375" style="56" customWidth="1"/>
    <col min="9228" max="9229" width="5.5" style="56" customWidth="1"/>
    <col min="9230" max="9235" width="5.125" style="56" customWidth="1"/>
    <col min="9236" max="9236" width="6.25" style="56" customWidth="1"/>
    <col min="9237" max="9237" width="6.375" style="56" customWidth="1"/>
    <col min="9238" max="9238" width="6" style="56" customWidth="1"/>
    <col min="9239" max="9239" width="5.5" style="56" customWidth="1"/>
    <col min="9240" max="9240" width="8.625" style="56" customWidth="1"/>
    <col min="9241" max="9241" width="0.75" style="56" customWidth="1"/>
    <col min="9242" max="9242" width="3.625" style="56" customWidth="1"/>
    <col min="9243" max="9474" width="8.75" style="56"/>
    <col min="9475" max="9475" width="10.125" style="56" customWidth="1"/>
    <col min="9476" max="9476" width="12.125" style="56" customWidth="1"/>
    <col min="9477" max="9477" width="6.25" style="56" customWidth="1"/>
    <col min="9478" max="9479" width="5" style="56" customWidth="1"/>
    <col min="9480" max="9480" width="5.75" style="56" customWidth="1"/>
    <col min="9481" max="9481" width="6.375" style="56" customWidth="1"/>
    <col min="9482" max="9483" width="5.375" style="56" customWidth="1"/>
    <col min="9484" max="9485" width="5.5" style="56" customWidth="1"/>
    <col min="9486" max="9491" width="5.125" style="56" customWidth="1"/>
    <col min="9492" max="9492" width="6.25" style="56" customWidth="1"/>
    <col min="9493" max="9493" width="6.375" style="56" customWidth="1"/>
    <col min="9494" max="9494" width="6" style="56" customWidth="1"/>
    <col min="9495" max="9495" width="5.5" style="56" customWidth="1"/>
    <col min="9496" max="9496" width="8.625" style="56" customWidth="1"/>
    <col min="9497" max="9497" width="0.75" style="56" customWidth="1"/>
    <col min="9498" max="9498" width="3.625" style="56" customWidth="1"/>
    <col min="9499" max="9730" width="8.75" style="56"/>
    <col min="9731" max="9731" width="10.125" style="56" customWidth="1"/>
    <col min="9732" max="9732" width="12.125" style="56" customWidth="1"/>
    <col min="9733" max="9733" width="6.25" style="56" customWidth="1"/>
    <col min="9734" max="9735" width="5" style="56" customWidth="1"/>
    <col min="9736" max="9736" width="5.75" style="56" customWidth="1"/>
    <col min="9737" max="9737" width="6.375" style="56" customWidth="1"/>
    <col min="9738" max="9739" width="5.375" style="56" customWidth="1"/>
    <col min="9740" max="9741" width="5.5" style="56" customWidth="1"/>
    <col min="9742" max="9747" width="5.125" style="56" customWidth="1"/>
    <col min="9748" max="9748" width="6.25" style="56" customWidth="1"/>
    <col min="9749" max="9749" width="6.375" style="56" customWidth="1"/>
    <col min="9750" max="9750" width="6" style="56" customWidth="1"/>
    <col min="9751" max="9751" width="5.5" style="56" customWidth="1"/>
    <col min="9752" max="9752" width="8.625" style="56" customWidth="1"/>
    <col min="9753" max="9753" width="0.75" style="56" customWidth="1"/>
    <col min="9754" max="9754" width="3.625" style="56" customWidth="1"/>
    <col min="9755" max="9986" width="8.75" style="56"/>
    <col min="9987" max="9987" width="10.125" style="56" customWidth="1"/>
    <col min="9988" max="9988" width="12.125" style="56" customWidth="1"/>
    <col min="9989" max="9989" width="6.25" style="56" customWidth="1"/>
    <col min="9990" max="9991" width="5" style="56" customWidth="1"/>
    <col min="9992" max="9992" width="5.75" style="56" customWidth="1"/>
    <col min="9993" max="9993" width="6.375" style="56" customWidth="1"/>
    <col min="9994" max="9995" width="5.375" style="56" customWidth="1"/>
    <col min="9996" max="9997" width="5.5" style="56" customWidth="1"/>
    <col min="9998" max="10003" width="5.125" style="56" customWidth="1"/>
    <col min="10004" max="10004" width="6.25" style="56" customWidth="1"/>
    <col min="10005" max="10005" width="6.375" style="56" customWidth="1"/>
    <col min="10006" max="10006" width="6" style="56" customWidth="1"/>
    <col min="10007" max="10007" width="5.5" style="56" customWidth="1"/>
    <col min="10008" max="10008" width="8.625" style="56" customWidth="1"/>
    <col min="10009" max="10009" width="0.75" style="56" customWidth="1"/>
    <col min="10010" max="10010" width="3.625" style="56" customWidth="1"/>
    <col min="10011" max="10242" width="8.75" style="56"/>
    <col min="10243" max="10243" width="10.125" style="56" customWidth="1"/>
    <col min="10244" max="10244" width="12.125" style="56" customWidth="1"/>
    <col min="10245" max="10245" width="6.25" style="56" customWidth="1"/>
    <col min="10246" max="10247" width="5" style="56" customWidth="1"/>
    <col min="10248" max="10248" width="5.75" style="56" customWidth="1"/>
    <col min="10249" max="10249" width="6.375" style="56" customWidth="1"/>
    <col min="10250" max="10251" width="5.375" style="56" customWidth="1"/>
    <col min="10252" max="10253" width="5.5" style="56" customWidth="1"/>
    <col min="10254" max="10259" width="5.125" style="56" customWidth="1"/>
    <col min="10260" max="10260" width="6.25" style="56" customWidth="1"/>
    <col min="10261" max="10261" width="6.375" style="56" customWidth="1"/>
    <col min="10262" max="10262" width="6" style="56" customWidth="1"/>
    <col min="10263" max="10263" width="5.5" style="56" customWidth="1"/>
    <col min="10264" max="10264" width="8.625" style="56" customWidth="1"/>
    <col min="10265" max="10265" width="0.75" style="56" customWidth="1"/>
    <col min="10266" max="10266" width="3.625" style="56" customWidth="1"/>
    <col min="10267" max="10498" width="8.75" style="56"/>
    <col min="10499" max="10499" width="10.125" style="56" customWidth="1"/>
    <col min="10500" max="10500" width="12.125" style="56" customWidth="1"/>
    <col min="10501" max="10501" width="6.25" style="56" customWidth="1"/>
    <col min="10502" max="10503" width="5" style="56" customWidth="1"/>
    <col min="10504" max="10504" width="5.75" style="56" customWidth="1"/>
    <col min="10505" max="10505" width="6.375" style="56" customWidth="1"/>
    <col min="10506" max="10507" width="5.375" style="56" customWidth="1"/>
    <col min="10508" max="10509" width="5.5" style="56" customWidth="1"/>
    <col min="10510" max="10515" width="5.125" style="56" customWidth="1"/>
    <col min="10516" max="10516" width="6.25" style="56" customWidth="1"/>
    <col min="10517" max="10517" width="6.375" style="56" customWidth="1"/>
    <col min="10518" max="10518" width="6" style="56" customWidth="1"/>
    <col min="10519" max="10519" width="5.5" style="56" customWidth="1"/>
    <col min="10520" max="10520" width="8.625" style="56" customWidth="1"/>
    <col min="10521" max="10521" width="0.75" style="56" customWidth="1"/>
    <col min="10522" max="10522" width="3.625" style="56" customWidth="1"/>
    <col min="10523" max="10754" width="8.75" style="56"/>
    <col min="10755" max="10755" width="10.125" style="56" customWidth="1"/>
    <col min="10756" max="10756" width="12.125" style="56" customWidth="1"/>
    <col min="10757" max="10757" width="6.25" style="56" customWidth="1"/>
    <col min="10758" max="10759" width="5" style="56" customWidth="1"/>
    <col min="10760" max="10760" width="5.75" style="56" customWidth="1"/>
    <col min="10761" max="10761" width="6.375" style="56" customWidth="1"/>
    <col min="10762" max="10763" width="5.375" style="56" customWidth="1"/>
    <col min="10764" max="10765" width="5.5" style="56" customWidth="1"/>
    <col min="10766" max="10771" width="5.125" style="56" customWidth="1"/>
    <col min="10772" max="10772" width="6.25" style="56" customWidth="1"/>
    <col min="10773" max="10773" width="6.375" style="56" customWidth="1"/>
    <col min="10774" max="10774" width="6" style="56" customWidth="1"/>
    <col min="10775" max="10775" width="5.5" style="56" customWidth="1"/>
    <col min="10776" max="10776" width="8.625" style="56" customWidth="1"/>
    <col min="10777" max="10777" width="0.75" style="56" customWidth="1"/>
    <col min="10778" max="10778" width="3.625" style="56" customWidth="1"/>
    <col min="10779" max="11010" width="8.75" style="56"/>
    <col min="11011" max="11011" width="10.125" style="56" customWidth="1"/>
    <col min="11012" max="11012" width="12.125" style="56" customWidth="1"/>
    <col min="11013" max="11013" width="6.25" style="56" customWidth="1"/>
    <col min="11014" max="11015" width="5" style="56" customWidth="1"/>
    <col min="11016" max="11016" width="5.75" style="56" customWidth="1"/>
    <col min="11017" max="11017" width="6.375" style="56" customWidth="1"/>
    <col min="11018" max="11019" width="5.375" style="56" customWidth="1"/>
    <col min="11020" max="11021" width="5.5" style="56" customWidth="1"/>
    <col min="11022" max="11027" width="5.125" style="56" customWidth="1"/>
    <col min="11028" max="11028" width="6.25" style="56" customWidth="1"/>
    <col min="11029" max="11029" width="6.375" style="56" customWidth="1"/>
    <col min="11030" max="11030" width="6" style="56" customWidth="1"/>
    <col min="11031" max="11031" width="5.5" style="56" customWidth="1"/>
    <col min="11032" max="11032" width="8.625" style="56" customWidth="1"/>
    <col min="11033" max="11033" width="0.75" style="56" customWidth="1"/>
    <col min="11034" max="11034" width="3.625" style="56" customWidth="1"/>
    <col min="11035" max="11266" width="8.75" style="56"/>
    <col min="11267" max="11267" width="10.125" style="56" customWidth="1"/>
    <col min="11268" max="11268" width="12.125" style="56" customWidth="1"/>
    <col min="11269" max="11269" width="6.25" style="56" customWidth="1"/>
    <col min="11270" max="11271" width="5" style="56" customWidth="1"/>
    <col min="11272" max="11272" width="5.75" style="56" customWidth="1"/>
    <col min="11273" max="11273" width="6.375" style="56" customWidth="1"/>
    <col min="11274" max="11275" width="5.375" style="56" customWidth="1"/>
    <col min="11276" max="11277" width="5.5" style="56" customWidth="1"/>
    <col min="11278" max="11283" width="5.125" style="56" customWidth="1"/>
    <col min="11284" max="11284" width="6.25" style="56" customWidth="1"/>
    <col min="11285" max="11285" width="6.375" style="56" customWidth="1"/>
    <col min="11286" max="11286" width="6" style="56" customWidth="1"/>
    <col min="11287" max="11287" width="5.5" style="56" customWidth="1"/>
    <col min="11288" max="11288" width="8.625" style="56" customWidth="1"/>
    <col min="11289" max="11289" width="0.75" style="56" customWidth="1"/>
    <col min="11290" max="11290" width="3.625" style="56" customWidth="1"/>
    <col min="11291" max="11522" width="8.75" style="56"/>
    <col min="11523" max="11523" width="10.125" style="56" customWidth="1"/>
    <col min="11524" max="11524" width="12.125" style="56" customWidth="1"/>
    <col min="11525" max="11525" width="6.25" style="56" customWidth="1"/>
    <col min="11526" max="11527" width="5" style="56" customWidth="1"/>
    <col min="11528" max="11528" width="5.75" style="56" customWidth="1"/>
    <col min="11529" max="11529" width="6.375" style="56" customWidth="1"/>
    <col min="11530" max="11531" width="5.375" style="56" customWidth="1"/>
    <col min="11532" max="11533" width="5.5" style="56" customWidth="1"/>
    <col min="11534" max="11539" width="5.125" style="56" customWidth="1"/>
    <col min="11540" max="11540" width="6.25" style="56" customWidth="1"/>
    <col min="11541" max="11541" width="6.375" style="56" customWidth="1"/>
    <col min="11542" max="11542" width="6" style="56" customWidth="1"/>
    <col min="11543" max="11543" width="5.5" style="56" customWidth="1"/>
    <col min="11544" max="11544" width="8.625" style="56" customWidth="1"/>
    <col min="11545" max="11545" width="0.75" style="56" customWidth="1"/>
    <col min="11546" max="11546" width="3.625" style="56" customWidth="1"/>
    <col min="11547" max="11778" width="8.75" style="56"/>
    <col min="11779" max="11779" width="10.125" style="56" customWidth="1"/>
    <col min="11780" max="11780" width="12.125" style="56" customWidth="1"/>
    <col min="11781" max="11781" width="6.25" style="56" customWidth="1"/>
    <col min="11782" max="11783" width="5" style="56" customWidth="1"/>
    <col min="11784" max="11784" width="5.75" style="56" customWidth="1"/>
    <col min="11785" max="11785" width="6.375" style="56" customWidth="1"/>
    <col min="11786" max="11787" width="5.375" style="56" customWidth="1"/>
    <col min="11788" max="11789" width="5.5" style="56" customWidth="1"/>
    <col min="11790" max="11795" width="5.125" style="56" customWidth="1"/>
    <col min="11796" max="11796" width="6.25" style="56" customWidth="1"/>
    <col min="11797" max="11797" width="6.375" style="56" customWidth="1"/>
    <col min="11798" max="11798" width="6" style="56" customWidth="1"/>
    <col min="11799" max="11799" width="5.5" style="56" customWidth="1"/>
    <col min="11800" max="11800" width="8.625" style="56" customWidth="1"/>
    <col min="11801" max="11801" width="0.75" style="56" customWidth="1"/>
    <col min="11802" max="11802" width="3.625" style="56" customWidth="1"/>
    <col min="11803" max="12034" width="8.75" style="56"/>
    <col min="12035" max="12035" width="10.125" style="56" customWidth="1"/>
    <col min="12036" max="12036" width="12.125" style="56" customWidth="1"/>
    <col min="12037" max="12037" width="6.25" style="56" customWidth="1"/>
    <col min="12038" max="12039" width="5" style="56" customWidth="1"/>
    <col min="12040" max="12040" width="5.75" style="56" customWidth="1"/>
    <col min="12041" max="12041" width="6.375" style="56" customWidth="1"/>
    <col min="12042" max="12043" width="5.375" style="56" customWidth="1"/>
    <col min="12044" max="12045" width="5.5" style="56" customWidth="1"/>
    <col min="12046" max="12051" width="5.125" style="56" customWidth="1"/>
    <col min="12052" max="12052" width="6.25" style="56" customWidth="1"/>
    <col min="12053" max="12053" width="6.375" style="56" customWidth="1"/>
    <col min="12054" max="12054" width="6" style="56" customWidth="1"/>
    <col min="12055" max="12055" width="5.5" style="56" customWidth="1"/>
    <col min="12056" max="12056" width="8.625" style="56" customWidth="1"/>
    <col min="12057" max="12057" width="0.75" style="56" customWidth="1"/>
    <col min="12058" max="12058" width="3.625" style="56" customWidth="1"/>
    <col min="12059" max="12290" width="8.75" style="56"/>
    <col min="12291" max="12291" width="10.125" style="56" customWidth="1"/>
    <col min="12292" max="12292" width="12.125" style="56" customWidth="1"/>
    <col min="12293" max="12293" width="6.25" style="56" customWidth="1"/>
    <col min="12294" max="12295" width="5" style="56" customWidth="1"/>
    <col min="12296" max="12296" width="5.75" style="56" customWidth="1"/>
    <col min="12297" max="12297" width="6.375" style="56" customWidth="1"/>
    <col min="12298" max="12299" width="5.375" style="56" customWidth="1"/>
    <col min="12300" max="12301" width="5.5" style="56" customWidth="1"/>
    <col min="12302" max="12307" width="5.125" style="56" customWidth="1"/>
    <col min="12308" max="12308" width="6.25" style="56" customWidth="1"/>
    <col min="12309" max="12309" width="6.375" style="56" customWidth="1"/>
    <col min="12310" max="12310" width="6" style="56" customWidth="1"/>
    <col min="12311" max="12311" width="5.5" style="56" customWidth="1"/>
    <col min="12312" max="12312" width="8.625" style="56" customWidth="1"/>
    <col min="12313" max="12313" width="0.75" style="56" customWidth="1"/>
    <col min="12314" max="12314" width="3.625" style="56" customWidth="1"/>
    <col min="12315" max="12546" width="8.75" style="56"/>
    <col min="12547" max="12547" width="10.125" style="56" customWidth="1"/>
    <col min="12548" max="12548" width="12.125" style="56" customWidth="1"/>
    <col min="12549" max="12549" width="6.25" style="56" customWidth="1"/>
    <col min="12550" max="12551" width="5" style="56" customWidth="1"/>
    <col min="12552" max="12552" width="5.75" style="56" customWidth="1"/>
    <col min="12553" max="12553" width="6.375" style="56" customWidth="1"/>
    <col min="12554" max="12555" width="5.375" style="56" customWidth="1"/>
    <col min="12556" max="12557" width="5.5" style="56" customWidth="1"/>
    <col min="12558" max="12563" width="5.125" style="56" customWidth="1"/>
    <col min="12564" max="12564" width="6.25" style="56" customWidth="1"/>
    <col min="12565" max="12565" width="6.375" style="56" customWidth="1"/>
    <col min="12566" max="12566" width="6" style="56" customWidth="1"/>
    <col min="12567" max="12567" width="5.5" style="56" customWidth="1"/>
    <col min="12568" max="12568" width="8.625" style="56" customWidth="1"/>
    <col min="12569" max="12569" width="0.75" style="56" customWidth="1"/>
    <col min="12570" max="12570" width="3.625" style="56" customWidth="1"/>
    <col min="12571" max="12802" width="8.75" style="56"/>
    <col min="12803" max="12803" width="10.125" style="56" customWidth="1"/>
    <col min="12804" max="12804" width="12.125" style="56" customWidth="1"/>
    <col min="12805" max="12805" width="6.25" style="56" customWidth="1"/>
    <col min="12806" max="12807" width="5" style="56" customWidth="1"/>
    <col min="12808" max="12808" width="5.75" style="56" customWidth="1"/>
    <col min="12809" max="12809" width="6.375" style="56" customWidth="1"/>
    <col min="12810" max="12811" width="5.375" style="56" customWidth="1"/>
    <col min="12812" max="12813" width="5.5" style="56" customWidth="1"/>
    <col min="12814" max="12819" width="5.125" style="56" customWidth="1"/>
    <col min="12820" max="12820" width="6.25" style="56" customWidth="1"/>
    <col min="12821" max="12821" width="6.375" style="56" customWidth="1"/>
    <col min="12822" max="12822" width="6" style="56" customWidth="1"/>
    <col min="12823" max="12823" width="5.5" style="56" customWidth="1"/>
    <col min="12824" max="12824" width="8.625" style="56" customWidth="1"/>
    <col min="12825" max="12825" width="0.75" style="56" customWidth="1"/>
    <col min="12826" max="12826" width="3.625" style="56" customWidth="1"/>
    <col min="12827" max="13058" width="8.75" style="56"/>
    <col min="13059" max="13059" width="10.125" style="56" customWidth="1"/>
    <col min="13060" max="13060" width="12.125" style="56" customWidth="1"/>
    <col min="13061" max="13061" width="6.25" style="56" customWidth="1"/>
    <col min="13062" max="13063" width="5" style="56" customWidth="1"/>
    <col min="13064" max="13064" width="5.75" style="56" customWidth="1"/>
    <col min="13065" max="13065" width="6.375" style="56" customWidth="1"/>
    <col min="13066" max="13067" width="5.375" style="56" customWidth="1"/>
    <col min="13068" max="13069" width="5.5" style="56" customWidth="1"/>
    <col min="13070" max="13075" width="5.125" style="56" customWidth="1"/>
    <col min="13076" max="13076" width="6.25" style="56" customWidth="1"/>
    <col min="13077" max="13077" width="6.375" style="56" customWidth="1"/>
    <col min="13078" max="13078" width="6" style="56" customWidth="1"/>
    <col min="13079" max="13079" width="5.5" style="56" customWidth="1"/>
    <col min="13080" max="13080" width="8.625" style="56" customWidth="1"/>
    <col min="13081" max="13081" width="0.75" style="56" customWidth="1"/>
    <col min="13082" max="13082" width="3.625" style="56" customWidth="1"/>
    <col min="13083" max="13314" width="8.75" style="56"/>
    <col min="13315" max="13315" width="10.125" style="56" customWidth="1"/>
    <col min="13316" max="13316" width="12.125" style="56" customWidth="1"/>
    <col min="13317" max="13317" width="6.25" style="56" customWidth="1"/>
    <col min="13318" max="13319" width="5" style="56" customWidth="1"/>
    <col min="13320" max="13320" width="5.75" style="56" customWidth="1"/>
    <col min="13321" max="13321" width="6.375" style="56" customWidth="1"/>
    <col min="13322" max="13323" width="5.375" style="56" customWidth="1"/>
    <col min="13324" max="13325" width="5.5" style="56" customWidth="1"/>
    <col min="13326" max="13331" width="5.125" style="56" customWidth="1"/>
    <col min="13332" max="13332" width="6.25" style="56" customWidth="1"/>
    <col min="13333" max="13333" width="6.375" style="56" customWidth="1"/>
    <col min="13334" max="13334" width="6" style="56" customWidth="1"/>
    <col min="13335" max="13335" width="5.5" style="56" customWidth="1"/>
    <col min="13336" max="13336" width="8.625" style="56" customWidth="1"/>
    <col min="13337" max="13337" width="0.75" style="56" customWidth="1"/>
    <col min="13338" max="13338" width="3.625" style="56" customWidth="1"/>
    <col min="13339" max="13570" width="8.75" style="56"/>
    <col min="13571" max="13571" width="10.125" style="56" customWidth="1"/>
    <col min="13572" max="13572" width="12.125" style="56" customWidth="1"/>
    <col min="13573" max="13573" width="6.25" style="56" customWidth="1"/>
    <col min="13574" max="13575" width="5" style="56" customWidth="1"/>
    <col min="13576" max="13576" width="5.75" style="56" customWidth="1"/>
    <col min="13577" max="13577" width="6.375" style="56" customWidth="1"/>
    <col min="13578" max="13579" width="5.375" style="56" customWidth="1"/>
    <col min="13580" max="13581" width="5.5" style="56" customWidth="1"/>
    <col min="13582" max="13587" width="5.125" style="56" customWidth="1"/>
    <col min="13588" max="13588" width="6.25" style="56" customWidth="1"/>
    <col min="13589" max="13589" width="6.375" style="56" customWidth="1"/>
    <col min="13590" max="13590" width="6" style="56" customWidth="1"/>
    <col min="13591" max="13591" width="5.5" style="56" customWidth="1"/>
    <col min="13592" max="13592" width="8.625" style="56" customWidth="1"/>
    <col min="13593" max="13593" width="0.75" style="56" customWidth="1"/>
    <col min="13594" max="13594" width="3.625" style="56" customWidth="1"/>
    <col min="13595" max="13826" width="8.75" style="56"/>
    <col min="13827" max="13827" width="10.125" style="56" customWidth="1"/>
    <col min="13828" max="13828" width="12.125" style="56" customWidth="1"/>
    <col min="13829" max="13829" width="6.25" style="56" customWidth="1"/>
    <col min="13830" max="13831" width="5" style="56" customWidth="1"/>
    <col min="13832" max="13832" width="5.75" style="56" customWidth="1"/>
    <col min="13833" max="13833" width="6.375" style="56" customWidth="1"/>
    <col min="13834" max="13835" width="5.375" style="56" customWidth="1"/>
    <col min="13836" max="13837" width="5.5" style="56" customWidth="1"/>
    <col min="13838" max="13843" width="5.125" style="56" customWidth="1"/>
    <col min="13844" max="13844" width="6.25" style="56" customWidth="1"/>
    <col min="13845" max="13845" width="6.375" style="56" customWidth="1"/>
    <col min="13846" max="13846" width="6" style="56" customWidth="1"/>
    <col min="13847" max="13847" width="5.5" style="56" customWidth="1"/>
    <col min="13848" max="13848" width="8.625" style="56" customWidth="1"/>
    <col min="13849" max="13849" width="0.75" style="56" customWidth="1"/>
    <col min="13850" max="13850" width="3.625" style="56" customWidth="1"/>
    <col min="13851" max="14082" width="8.75" style="56"/>
    <col min="14083" max="14083" width="10.125" style="56" customWidth="1"/>
    <col min="14084" max="14084" width="12.125" style="56" customWidth="1"/>
    <col min="14085" max="14085" width="6.25" style="56" customWidth="1"/>
    <col min="14086" max="14087" width="5" style="56" customWidth="1"/>
    <col min="14088" max="14088" width="5.75" style="56" customWidth="1"/>
    <col min="14089" max="14089" width="6.375" style="56" customWidth="1"/>
    <col min="14090" max="14091" width="5.375" style="56" customWidth="1"/>
    <col min="14092" max="14093" width="5.5" style="56" customWidth="1"/>
    <col min="14094" max="14099" width="5.125" style="56" customWidth="1"/>
    <col min="14100" max="14100" width="6.25" style="56" customWidth="1"/>
    <col min="14101" max="14101" width="6.375" style="56" customWidth="1"/>
    <col min="14102" max="14102" width="6" style="56" customWidth="1"/>
    <col min="14103" max="14103" width="5.5" style="56" customWidth="1"/>
    <col min="14104" max="14104" width="8.625" style="56" customWidth="1"/>
    <col min="14105" max="14105" width="0.75" style="56" customWidth="1"/>
    <col min="14106" max="14106" width="3.625" style="56" customWidth="1"/>
    <col min="14107" max="14338" width="8.75" style="56"/>
    <col min="14339" max="14339" width="10.125" style="56" customWidth="1"/>
    <col min="14340" max="14340" width="12.125" style="56" customWidth="1"/>
    <col min="14341" max="14341" width="6.25" style="56" customWidth="1"/>
    <col min="14342" max="14343" width="5" style="56" customWidth="1"/>
    <col min="14344" max="14344" width="5.75" style="56" customWidth="1"/>
    <col min="14345" max="14345" width="6.375" style="56" customWidth="1"/>
    <col min="14346" max="14347" width="5.375" style="56" customWidth="1"/>
    <col min="14348" max="14349" width="5.5" style="56" customWidth="1"/>
    <col min="14350" max="14355" width="5.125" style="56" customWidth="1"/>
    <col min="14356" max="14356" width="6.25" style="56" customWidth="1"/>
    <col min="14357" max="14357" width="6.375" style="56" customWidth="1"/>
    <col min="14358" max="14358" width="6" style="56" customWidth="1"/>
    <col min="14359" max="14359" width="5.5" style="56" customWidth="1"/>
    <col min="14360" max="14360" width="8.625" style="56" customWidth="1"/>
    <col min="14361" max="14361" width="0.75" style="56" customWidth="1"/>
    <col min="14362" max="14362" width="3.625" style="56" customWidth="1"/>
    <col min="14363" max="14594" width="8.75" style="56"/>
    <col min="14595" max="14595" width="10.125" style="56" customWidth="1"/>
    <col min="14596" max="14596" width="12.125" style="56" customWidth="1"/>
    <col min="14597" max="14597" width="6.25" style="56" customWidth="1"/>
    <col min="14598" max="14599" width="5" style="56" customWidth="1"/>
    <col min="14600" max="14600" width="5.75" style="56" customWidth="1"/>
    <col min="14601" max="14601" width="6.375" style="56" customWidth="1"/>
    <col min="14602" max="14603" width="5.375" style="56" customWidth="1"/>
    <col min="14604" max="14605" width="5.5" style="56" customWidth="1"/>
    <col min="14606" max="14611" width="5.125" style="56" customWidth="1"/>
    <col min="14612" max="14612" width="6.25" style="56" customWidth="1"/>
    <col min="14613" max="14613" width="6.375" style="56" customWidth="1"/>
    <col min="14614" max="14614" width="6" style="56" customWidth="1"/>
    <col min="14615" max="14615" width="5.5" style="56" customWidth="1"/>
    <col min="14616" max="14616" width="8.625" style="56" customWidth="1"/>
    <col min="14617" max="14617" width="0.75" style="56" customWidth="1"/>
    <col min="14618" max="14618" width="3.625" style="56" customWidth="1"/>
    <col min="14619" max="14850" width="8.75" style="56"/>
    <col min="14851" max="14851" width="10.125" style="56" customWidth="1"/>
    <col min="14852" max="14852" width="12.125" style="56" customWidth="1"/>
    <col min="14853" max="14853" width="6.25" style="56" customWidth="1"/>
    <col min="14854" max="14855" width="5" style="56" customWidth="1"/>
    <col min="14856" max="14856" width="5.75" style="56" customWidth="1"/>
    <col min="14857" max="14857" width="6.375" style="56" customWidth="1"/>
    <col min="14858" max="14859" width="5.375" style="56" customWidth="1"/>
    <col min="14860" max="14861" width="5.5" style="56" customWidth="1"/>
    <col min="14862" max="14867" width="5.125" style="56" customWidth="1"/>
    <col min="14868" max="14868" width="6.25" style="56" customWidth="1"/>
    <col min="14869" max="14869" width="6.375" style="56" customWidth="1"/>
    <col min="14870" max="14870" width="6" style="56" customWidth="1"/>
    <col min="14871" max="14871" width="5.5" style="56" customWidth="1"/>
    <col min="14872" max="14872" width="8.625" style="56" customWidth="1"/>
    <col min="14873" max="14873" width="0.75" style="56" customWidth="1"/>
    <col min="14874" max="14874" width="3.625" style="56" customWidth="1"/>
    <col min="14875" max="15106" width="8.75" style="56"/>
    <col min="15107" max="15107" width="10.125" style="56" customWidth="1"/>
    <col min="15108" max="15108" width="12.125" style="56" customWidth="1"/>
    <col min="15109" max="15109" width="6.25" style="56" customWidth="1"/>
    <col min="15110" max="15111" width="5" style="56" customWidth="1"/>
    <col min="15112" max="15112" width="5.75" style="56" customWidth="1"/>
    <col min="15113" max="15113" width="6.375" style="56" customWidth="1"/>
    <col min="15114" max="15115" width="5.375" style="56" customWidth="1"/>
    <col min="15116" max="15117" width="5.5" style="56" customWidth="1"/>
    <col min="15118" max="15123" width="5.125" style="56" customWidth="1"/>
    <col min="15124" max="15124" width="6.25" style="56" customWidth="1"/>
    <col min="15125" max="15125" width="6.375" style="56" customWidth="1"/>
    <col min="15126" max="15126" width="6" style="56" customWidth="1"/>
    <col min="15127" max="15127" width="5.5" style="56" customWidth="1"/>
    <col min="15128" max="15128" width="8.625" style="56" customWidth="1"/>
    <col min="15129" max="15129" width="0.75" style="56" customWidth="1"/>
    <col min="15130" max="15130" width="3.625" style="56" customWidth="1"/>
    <col min="15131" max="15362" width="8.75" style="56"/>
    <col min="15363" max="15363" width="10.125" style="56" customWidth="1"/>
    <col min="15364" max="15364" width="12.125" style="56" customWidth="1"/>
    <col min="15365" max="15365" width="6.25" style="56" customWidth="1"/>
    <col min="15366" max="15367" width="5" style="56" customWidth="1"/>
    <col min="15368" max="15368" width="5.75" style="56" customWidth="1"/>
    <col min="15369" max="15369" width="6.375" style="56" customWidth="1"/>
    <col min="15370" max="15371" width="5.375" style="56" customWidth="1"/>
    <col min="15372" max="15373" width="5.5" style="56" customWidth="1"/>
    <col min="15374" max="15379" width="5.125" style="56" customWidth="1"/>
    <col min="15380" max="15380" width="6.25" style="56" customWidth="1"/>
    <col min="15381" max="15381" width="6.375" style="56" customWidth="1"/>
    <col min="15382" max="15382" width="6" style="56" customWidth="1"/>
    <col min="15383" max="15383" width="5.5" style="56" customWidth="1"/>
    <col min="15384" max="15384" width="8.625" style="56" customWidth="1"/>
    <col min="15385" max="15385" width="0.75" style="56" customWidth="1"/>
    <col min="15386" max="15386" width="3.625" style="56" customWidth="1"/>
    <col min="15387" max="15618" width="8.75" style="56"/>
    <col min="15619" max="15619" width="10.125" style="56" customWidth="1"/>
    <col min="15620" max="15620" width="12.125" style="56" customWidth="1"/>
    <col min="15621" max="15621" width="6.25" style="56" customWidth="1"/>
    <col min="15622" max="15623" width="5" style="56" customWidth="1"/>
    <col min="15624" max="15624" width="5.75" style="56" customWidth="1"/>
    <col min="15625" max="15625" width="6.375" style="56" customWidth="1"/>
    <col min="15626" max="15627" width="5.375" style="56" customWidth="1"/>
    <col min="15628" max="15629" width="5.5" style="56" customWidth="1"/>
    <col min="15630" max="15635" width="5.125" style="56" customWidth="1"/>
    <col min="15636" max="15636" width="6.25" style="56" customWidth="1"/>
    <col min="15637" max="15637" width="6.375" style="56" customWidth="1"/>
    <col min="15638" max="15638" width="6" style="56" customWidth="1"/>
    <col min="15639" max="15639" width="5.5" style="56" customWidth="1"/>
    <col min="15640" max="15640" width="8.625" style="56" customWidth="1"/>
    <col min="15641" max="15641" width="0.75" style="56" customWidth="1"/>
    <col min="15642" max="15642" width="3.625" style="56" customWidth="1"/>
    <col min="15643" max="15874" width="8.75" style="56"/>
    <col min="15875" max="15875" width="10.125" style="56" customWidth="1"/>
    <col min="15876" max="15876" width="12.125" style="56" customWidth="1"/>
    <col min="15877" max="15877" width="6.25" style="56" customWidth="1"/>
    <col min="15878" max="15879" width="5" style="56" customWidth="1"/>
    <col min="15880" max="15880" width="5.75" style="56" customWidth="1"/>
    <col min="15881" max="15881" width="6.375" style="56" customWidth="1"/>
    <col min="15882" max="15883" width="5.375" style="56" customWidth="1"/>
    <col min="15884" max="15885" width="5.5" style="56" customWidth="1"/>
    <col min="15886" max="15891" width="5.125" style="56" customWidth="1"/>
    <col min="15892" max="15892" width="6.25" style="56" customWidth="1"/>
    <col min="15893" max="15893" width="6.375" style="56" customWidth="1"/>
    <col min="15894" max="15894" width="6" style="56" customWidth="1"/>
    <col min="15895" max="15895" width="5.5" style="56" customWidth="1"/>
    <col min="15896" max="15896" width="8.625" style="56" customWidth="1"/>
    <col min="15897" max="15897" width="0.75" style="56" customWidth="1"/>
    <col min="15898" max="15898" width="3.625" style="56" customWidth="1"/>
    <col min="15899" max="16130" width="8.75" style="56"/>
    <col min="16131" max="16131" width="10.125" style="56" customWidth="1"/>
    <col min="16132" max="16132" width="12.125" style="56" customWidth="1"/>
    <col min="16133" max="16133" width="6.25" style="56" customWidth="1"/>
    <col min="16134" max="16135" width="5" style="56" customWidth="1"/>
    <col min="16136" max="16136" width="5.75" style="56" customWidth="1"/>
    <col min="16137" max="16137" width="6.375" style="56" customWidth="1"/>
    <col min="16138" max="16139" width="5.375" style="56" customWidth="1"/>
    <col min="16140" max="16141" width="5.5" style="56" customWidth="1"/>
    <col min="16142" max="16147" width="5.125" style="56" customWidth="1"/>
    <col min="16148" max="16148" width="6.25" style="56" customWidth="1"/>
    <col min="16149" max="16149" width="6.375" style="56" customWidth="1"/>
    <col min="16150" max="16150" width="6" style="56" customWidth="1"/>
    <col min="16151" max="16151" width="5.5" style="56" customWidth="1"/>
    <col min="16152" max="16152" width="8.625" style="56" customWidth="1"/>
    <col min="16153" max="16153" width="0.75" style="56" customWidth="1"/>
    <col min="16154" max="16154" width="3.625" style="56" customWidth="1"/>
    <col min="16155" max="16384" width="8.75" style="56"/>
  </cols>
  <sheetData>
    <row r="1" spans="1:24" ht="42" customHeight="1">
      <c r="A1" s="105"/>
      <c r="B1" s="59"/>
      <c r="C1" s="59"/>
      <c r="D1" s="57" t="s">
        <v>43</v>
      </c>
      <c r="Q1" s="59"/>
      <c r="X1" s="90" t="s">
        <v>512</v>
      </c>
    </row>
    <row r="2" spans="1:24" ht="20.25" customHeight="1">
      <c r="A2" s="150" t="s">
        <v>44</v>
      </c>
      <c r="B2" s="151"/>
      <c r="C2" s="152"/>
      <c r="D2" s="142" t="s">
        <v>414</v>
      </c>
      <c r="E2" s="143"/>
      <c r="F2" s="143"/>
      <c r="G2" s="143"/>
      <c r="H2" s="143"/>
      <c r="I2" s="5"/>
      <c r="J2" s="148"/>
      <c r="K2" s="148"/>
      <c r="L2" s="61"/>
      <c r="M2" s="62" t="s">
        <v>45</v>
      </c>
      <c r="N2" s="60"/>
      <c r="O2" s="60"/>
      <c r="P2" s="148"/>
      <c r="Q2" s="63" t="s">
        <v>197</v>
      </c>
      <c r="R2" s="148"/>
      <c r="S2" s="148"/>
      <c r="T2" s="148"/>
      <c r="U2" s="5"/>
      <c r="V2" s="5"/>
      <c r="W2" s="143"/>
      <c r="X2" s="6"/>
    </row>
    <row r="3" spans="1:24" ht="20.25" customHeight="1">
      <c r="A3" s="150" t="s">
        <v>46</v>
      </c>
      <c r="B3" s="151"/>
      <c r="C3" s="152"/>
      <c r="D3" s="142" t="s">
        <v>509</v>
      </c>
      <c r="E3" s="143"/>
      <c r="F3" s="143"/>
      <c r="G3" s="143"/>
      <c r="H3" s="64"/>
      <c r="I3" s="5"/>
      <c r="J3" s="148"/>
      <c r="K3" s="148"/>
      <c r="L3" s="61"/>
      <c r="M3" s="62" t="s">
        <v>47</v>
      </c>
      <c r="N3" s="60"/>
      <c r="O3" s="60"/>
      <c r="P3" s="148"/>
      <c r="Q3" s="63" t="s">
        <v>198</v>
      </c>
      <c r="R3" s="148"/>
      <c r="S3" s="148"/>
      <c r="T3" s="148"/>
      <c r="U3" s="65"/>
      <c r="V3" s="7"/>
      <c r="W3" s="143"/>
      <c r="X3" s="8"/>
    </row>
    <row r="4" spans="1:24" ht="20.25" customHeight="1">
      <c r="A4" s="150" t="s">
        <v>9</v>
      </c>
      <c r="B4" s="151"/>
      <c r="C4" s="152"/>
      <c r="D4" s="153" t="s">
        <v>112</v>
      </c>
      <c r="E4" s="154"/>
      <c r="F4" s="154"/>
      <c r="G4" s="154"/>
      <c r="H4" s="154"/>
      <c r="I4" s="10"/>
      <c r="J4" s="10"/>
      <c r="K4" s="148"/>
      <c r="L4" s="61"/>
      <c r="M4" s="62" t="s">
        <v>48</v>
      </c>
      <c r="N4" s="143"/>
      <c r="O4" s="148"/>
      <c r="P4" s="148"/>
      <c r="Q4" s="134" t="s">
        <v>108</v>
      </c>
      <c r="R4" s="11" t="s">
        <v>11</v>
      </c>
      <c r="S4" s="11"/>
      <c r="T4" s="11" t="s">
        <v>49</v>
      </c>
      <c r="U4" s="135" t="s">
        <v>113</v>
      </c>
      <c r="V4" s="66" t="s">
        <v>11</v>
      </c>
      <c r="W4" s="143"/>
      <c r="X4" s="8"/>
    </row>
    <row r="5" spans="1:24" ht="20.25" customHeight="1">
      <c r="A5" s="150" t="s">
        <v>10</v>
      </c>
      <c r="B5" s="151"/>
      <c r="C5" s="152"/>
      <c r="D5" s="155" t="s">
        <v>114</v>
      </c>
      <c r="E5" s="156"/>
      <c r="F5" s="156"/>
      <c r="G5" s="156"/>
      <c r="H5" s="143"/>
      <c r="I5" s="5"/>
      <c r="J5" s="148"/>
      <c r="K5" s="148"/>
      <c r="L5" s="61"/>
      <c r="M5" s="62" t="s">
        <v>50</v>
      </c>
      <c r="N5" s="9"/>
      <c r="O5" s="9"/>
      <c r="P5" s="148"/>
      <c r="Q5" s="157" t="s">
        <v>331</v>
      </c>
      <c r="R5" s="158"/>
      <c r="S5" s="158"/>
      <c r="T5" s="158"/>
      <c r="U5" s="158"/>
      <c r="V5" s="143"/>
      <c r="W5" s="143"/>
      <c r="X5" s="8"/>
    </row>
    <row r="6" spans="1:24" ht="20.25" customHeight="1">
      <c r="A6" s="150" t="s">
        <v>51</v>
      </c>
      <c r="B6" s="151"/>
      <c r="C6" s="152"/>
      <c r="D6" s="144" t="s">
        <v>106</v>
      </c>
      <c r="E6" s="148"/>
      <c r="F6" s="148"/>
      <c r="G6" s="5" t="s">
        <v>52</v>
      </c>
      <c r="H6" s="145" t="s">
        <v>358</v>
      </c>
      <c r="I6" s="143" t="s">
        <v>12</v>
      </c>
      <c r="J6" s="148"/>
      <c r="K6" s="148"/>
      <c r="L6" s="61"/>
      <c r="M6" s="62" t="s">
        <v>382</v>
      </c>
      <c r="N6" s="9"/>
      <c r="O6" s="9"/>
      <c r="P6" s="148"/>
      <c r="Q6" s="159" t="s">
        <v>332</v>
      </c>
      <c r="R6" s="160"/>
      <c r="S6" s="160"/>
      <c r="T6" s="160"/>
      <c r="U6" s="160"/>
      <c r="V6" s="143"/>
      <c r="W6" s="161"/>
      <c r="X6" s="162"/>
    </row>
    <row r="7" spans="1:24" ht="8.25" customHeight="1">
      <c r="A7" s="101"/>
      <c r="B7" s="104"/>
      <c r="C7" s="104"/>
      <c r="D7" s="68"/>
      <c r="E7" s="68"/>
      <c r="F7" s="68"/>
      <c r="G7" s="68"/>
      <c r="H7" s="68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</row>
    <row r="8" spans="1:24" s="70" customFormat="1" ht="27" customHeight="1">
      <c r="A8" s="163" t="s">
        <v>1</v>
      </c>
      <c r="B8" s="164"/>
      <c r="C8" s="165"/>
      <c r="D8" s="91" t="s">
        <v>2</v>
      </c>
      <c r="E8" s="91" t="s">
        <v>511</v>
      </c>
      <c r="F8" s="91" t="s">
        <v>383</v>
      </c>
      <c r="G8" s="12" t="s">
        <v>53</v>
      </c>
      <c r="H8" s="12" t="s">
        <v>54</v>
      </c>
      <c r="I8" s="91" t="s">
        <v>55</v>
      </c>
      <c r="J8" s="91" t="s">
        <v>56</v>
      </c>
      <c r="K8" s="91" t="s">
        <v>57</v>
      </c>
      <c r="L8" s="91" t="s">
        <v>58</v>
      </c>
      <c r="M8" s="91" t="s">
        <v>59</v>
      </c>
      <c r="N8" s="91" t="s">
        <v>60</v>
      </c>
      <c r="O8" s="91" t="s">
        <v>61</v>
      </c>
      <c r="P8" s="91" t="s">
        <v>62</v>
      </c>
      <c r="Q8" s="91" t="s">
        <v>63</v>
      </c>
      <c r="R8" s="91" t="s">
        <v>64</v>
      </c>
      <c r="S8" s="163" t="s">
        <v>65</v>
      </c>
      <c r="T8" s="165"/>
      <c r="U8" s="91" t="s">
        <v>66</v>
      </c>
      <c r="V8" s="91" t="s">
        <v>67</v>
      </c>
      <c r="W8" s="69" t="s">
        <v>68</v>
      </c>
      <c r="X8" s="91" t="s">
        <v>69</v>
      </c>
    </row>
    <row r="9" spans="1:24" ht="19.5" customHeight="1">
      <c r="A9" s="166" t="s">
        <v>384</v>
      </c>
      <c r="B9" s="167"/>
      <c r="C9" s="100" t="s">
        <v>134</v>
      </c>
      <c r="D9" s="128" t="s">
        <v>135</v>
      </c>
      <c r="E9" s="128" t="s">
        <v>136</v>
      </c>
      <c r="F9" s="128" t="s">
        <v>389</v>
      </c>
      <c r="G9" s="129" t="s">
        <v>137</v>
      </c>
      <c r="H9" s="129" t="s">
        <v>338</v>
      </c>
      <c r="I9" s="133" t="s">
        <v>158</v>
      </c>
      <c r="J9" s="133" t="s">
        <v>159</v>
      </c>
      <c r="K9" s="133" t="s">
        <v>160</v>
      </c>
      <c r="L9" s="133" t="s">
        <v>161</v>
      </c>
      <c r="M9" s="133" t="s">
        <v>162</v>
      </c>
      <c r="N9" s="133" t="s">
        <v>163</v>
      </c>
      <c r="O9" s="133" t="s">
        <v>164</v>
      </c>
      <c r="P9" s="133" t="s">
        <v>165</v>
      </c>
      <c r="Q9" s="133" t="s">
        <v>166</v>
      </c>
      <c r="R9" s="133" t="s">
        <v>167</v>
      </c>
      <c r="S9" s="172" t="str">
        <f t="shared" ref="S9:S15" si="0">IF(SUM(I9:R9)&gt;0,AVERAGE(I9:R9),"")</f>
        <v/>
      </c>
      <c r="T9" s="173"/>
      <c r="U9" s="14" t="str">
        <f t="shared" ref="U9:U15" si="1">IF(SUM(I9:R9)&gt;0,MAX(I9:R9),"")</f>
        <v/>
      </c>
      <c r="V9" s="14" t="str">
        <f t="shared" ref="V9:V15" si="2">IF(SUM(I9:R9)&gt;0,MIN(I9:R9),"")</f>
        <v/>
      </c>
      <c r="W9" s="71" t="str">
        <f>IF(SUM(I9:R9)&gt;0,IF(MIN(I9:R9)&lt;H9,"NG","G"),"")</f>
        <v/>
      </c>
      <c r="X9" s="16" t="s">
        <v>199</v>
      </c>
    </row>
    <row r="10" spans="1:24" ht="19.5" customHeight="1">
      <c r="A10" s="168"/>
      <c r="B10" s="169"/>
      <c r="C10" s="13" t="s">
        <v>138</v>
      </c>
      <c r="D10" s="72" t="s">
        <v>139</v>
      </c>
      <c r="E10" s="138" t="s">
        <v>140</v>
      </c>
      <c r="F10" s="138" t="s">
        <v>390</v>
      </c>
      <c r="G10" s="111" t="s">
        <v>141</v>
      </c>
      <c r="H10" s="111" t="s">
        <v>339</v>
      </c>
      <c r="I10" s="92" t="s">
        <v>168</v>
      </c>
      <c r="J10" s="92" t="s">
        <v>109</v>
      </c>
      <c r="K10" s="92" t="s">
        <v>111</v>
      </c>
      <c r="L10" s="92" t="s">
        <v>169</v>
      </c>
      <c r="M10" s="92" t="s">
        <v>170</v>
      </c>
      <c r="N10" s="92" t="s">
        <v>171</v>
      </c>
      <c r="O10" s="92" t="s">
        <v>115</v>
      </c>
      <c r="P10" s="92" t="s">
        <v>116</v>
      </c>
      <c r="Q10" s="92" t="s">
        <v>172</v>
      </c>
      <c r="R10" s="92" t="s">
        <v>117</v>
      </c>
      <c r="S10" s="172" t="str">
        <f t="shared" si="0"/>
        <v/>
      </c>
      <c r="T10" s="173"/>
      <c r="U10" s="14" t="str">
        <f t="shared" si="1"/>
        <v/>
      </c>
      <c r="V10" s="14" t="str">
        <f t="shared" si="2"/>
        <v/>
      </c>
      <c r="W10" s="71" t="str">
        <f>IF(SUM(I10:R10)&gt;0,IF(OR(MIN(I10:R10)&lt;H10,MAX(I10:R10)&gt;G10),"NG","G"),"")</f>
        <v/>
      </c>
      <c r="X10" s="15" t="s">
        <v>200</v>
      </c>
    </row>
    <row r="11" spans="1:24" ht="19.5" customHeight="1">
      <c r="A11" s="168"/>
      <c r="B11" s="169"/>
      <c r="C11" s="33" t="s">
        <v>146</v>
      </c>
      <c r="D11" s="120" t="s">
        <v>142</v>
      </c>
      <c r="E11" s="141" t="s">
        <v>143</v>
      </c>
      <c r="F11" s="141" t="s">
        <v>391</v>
      </c>
      <c r="G11" s="124" t="s">
        <v>144</v>
      </c>
      <c r="H11" s="124" t="s">
        <v>340</v>
      </c>
      <c r="I11" s="122" t="s">
        <v>173</v>
      </c>
      <c r="J11" s="122" t="s">
        <v>118</v>
      </c>
      <c r="K11" s="122" t="s">
        <v>119</v>
      </c>
      <c r="L11" s="122" t="s">
        <v>120</v>
      </c>
      <c r="M11" s="122" t="s">
        <v>121</v>
      </c>
      <c r="N11" s="122" t="s">
        <v>174</v>
      </c>
      <c r="O11" s="122" t="s">
        <v>175</v>
      </c>
      <c r="P11" s="122" t="s">
        <v>176</v>
      </c>
      <c r="Q11" s="122" t="s">
        <v>177</v>
      </c>
      <c r="R11" s="122" t="s">
        <v>178</v>
      </c>
      <c r="S11" s="174" t="str">
        <f t="shared" si="0"/>
        <v/>
      </c>
      <c r="T11" s="175"/>
      <c r="U11" s="139" t="str">
        <f t="shared" si="1"/>
        <v/>
      </c>
      <c r="V11" s="139" t="str">
        <f t="shared" si="2"/>
        <v/>
      </c>
      <c r="W11" s="71" t="str">
        <f>IF(SUM(I11:R11)&gt;0,IF(OR(MIN(I11:R11)&lt;H11,MAX(I11:R11)&gt;G11),"NG","G"),"")</f>
        <v/>
      </c>
      <c r="X11" s="15" t="s">
        <v>201</v>
      </c>
    </row>
    <row r="12" spans="1:24" ht="19.5" customHeight="1">
      <c r="A12" s="168"/>
      <c r="B12" s="169"/>
      <c r="C12" s="73" t="s">
        <v>145</v>
      </c>
      <c r="D12" s="120" t="s">
        <v>147</v>
      </c>
      <c r="E12" s="121" t="s">
        <v>148</v>
      </c>
      <c r="F12" s="121" t="s">
        <v>392</v>
      </c>
      <c r="G12" s="124" t="s">
        <v>149</v>
      </c>
      <c r="H12" s="136" t="s">
        <v>341</v>
      </c>
      <c r="I12" s="122" t="s">
        <v>179</v>
      </c>
      <c r="J12" s="122" t="s">
        <v>180</v>
      </c>
      <c r="K12" s="122" t="s">
        <v>181</v>
      </c>
      <c r="L12" s="122" t="s">
        <v>182</v>
      </c>
      <c r="M12" s="122" t="s">
        <v>183</v>
      </c>
      <c r="N12" s="122" t="s">
        <v>184</v>
      </c>
      <c r="O12" s="122" t="s">
        <v>122</v>
      </c>
      <c r="P12" s="122" t="s">
        <v>123</v>
      </c>
      <c r="Q12" s="122" t="s">
        <v>124</v>
      </c>
      <c r="R12" s="122" t="s">
        <v>125</v>
      </c>
      <c r="S12" s="176" t="str">
        <f t="shared" si="0"/>
        <v/>
      </c>
      <c r="T12" s="177"/>
      <c r="U12" s="71" t="str">
        <f t="shared" si="1"/>
        <v/>
      </c>
      <c r="V12" s="71" t="str">
        <f t="shared" si="2"/>
        <v/>
      </c>
      <c r="W12" s="71" t="str">
        <f>IF(SUM(I12:R12)&gt;0,IF(MAX(I12:R12)&gt;G12,"NG","G"),"")</f>
        <v/>
      </c>
      <c r="X12" s="15" t="s">
        <v>202</v>
      </c>
    </row>
    <row r="13" spans="1:24" ht="19.5" customHeight="1">
      <c r="A13" s="168"/>
      <c r="B13" s="169"/>
      <c r="C13" s="73" t="s">
        <v>150</v>
      </c>
      <c r="D13" s="117" t="s">
        <v>151</v>
      </c>
      <c r="E13" s="118" t="s">
        <v>152</v>
      </c>
      <c r="F13" s="118" t="s">
        <v>393</v>
      </c>
      <c r="G13" s="111" t="s">
        <v>153</v>
      </c>
      <c r="H13" s="111" t="s">
        <v>342</v>
      </c>
      <c r="I13" s="119" t="s">
        <v>185</v>
      </c>
      <c r="J13" s="119" t="s">
        <v>126</v>
      </c>
      <c r="K13" s="119" t="s">
        <v>127</v>
      </c>
      <c r="L13" s="119" t="s">
        <v>128</v>
      </c>
      <c r="M13" s="119" t="s">
        <v>129</v>
      </c>
      <c r="N13" s="119" t="s">
        <v>186</v>
      </c>
      <c r="O13" s="119" t="s">
        <v>187</v>
      </c>
      <c r="P13" s="119" t="s">
        <v>188</v>
      </c>
      <c r="Q13" s="119" t="s">
        <v>189</v>
      </c>
      <c r="R13" s="119" t="s">
        <v>190</v>
      </c>
      <c r="S13" s="172" t="str">
        <f t="shared" si="0"/>
        <v/>
      </c>
      <c r="T13" s="173"/>
      <c r="U13" s="14" t="str">
        <f t="shared" si="1"/>
        <v/>
      </c>
      <c r="V13" s="14" t="str">
        <f t="shared" si="2"/>
        <v/>
      </c>
      <c r="W13" s="71" t="str">
        <f>IF(SUM(I13:R13)&gt;0,IF(MAX(I13:R13)&gt;G13,"NG","G"),"")</f>
        <v/>
      </c>
      <c r="X13" s="15" t="s">
        <v>203</v>
      </c>
    </row>
    <row r="14" spans="1:24" ht="19.5" customHeight="1">
      <c r="A14" s="168"/>
      <c r="B14" s="169"/>
      <c r="C14" s="13" t="s">
        <v>154</v>
      </c>
      <c r="D14" s="15" t="s">
        <v>155</v>
      </c>
      <c r="E14" s="130" t="s">
        <v>156</v>
      </c>
      <c r="F14" s="130" t="s">
        <v>394</v>
      </c>
      <c r="G14" s="124" t="s">
        <v>157</v>
      </c>
      <c r="H14" s="124" t="s">
        <v>343</v>
      </c>
      <c r="I14" s="125" t="s">
        <v>191</v>
      </c>
      <c r="J14" s="125" t="s">
        <v>192</v>
      </c>
      <c r="K14" s="125" t="s">
        <v>193</v>
      </c>
      <c r="L14" s="125" t="s">
        <v>194</v>
      </c>
      <c r="M14" s="125" t="s">
        <v>195</v>
      </c>
      <c r="N14" s="125" t="s">
        <v>196</v>
      </c>
      <c r="O14" s="125" t="s">
        <v>130</v>
      </c>
      <c r="P14" s="125" t="s">
        <v>131</v>
      </c>
      <c r="Q14" s="125" t="s">
        <v>132</v>
      </c>
      <c r="R14" s="125" t="s">
        <v>133</v>
      </c>
      <c r="S14" s="178" t="str">
        <f t="shared" si="0"/>
        <v/>
      </c>
      <c r="T14" s="179"/>
      <c r="U14" s="132" t="str">
        <f t="shared" si="1"/>
        <v/>
      </c>
      <c r="V14" s="132" t="str">
        <f t="shared" si="2"/>
        <v/>
      </c>
      <c r="W14" s="71" t="str">
        <f t="shared" ref="W14" si="3">IF(SUM(I14:R14)&gt;0,IF(MIN(I14:R14)&lt;H14,"NG","G"),"")</f>
        <v/>
      </c>
      <c r="X14" s="15" t="s">
        <v>204</v>
      </c>
    </row>
    <row r="15" spans="1:24" ht="19.5" customHeight="1">
      <c r="A15" s="168"/>
      <c r="B15" s="169"/>
      <c r="C15" s="13" t="s">
        <v>475</v>
      </c>
      <c r="D15" s="72" t="s">
        <v>477</v>
      </c>
      <c r="E15" s="72" t="s">
        <v>478</v>
      </c>
      <c r="F15" s="72" t="s">
        <v>479</v>
      </c>
      <c r="G15" s="131" t="s">
        <v>480</v>
      </c>
      <c r="H15" s="131" t="s">
        <v>481</v>
      </c>
      <c r="I15" s="92" t="s">
        <v>489</v>
      </c>
      <c r="J15" s="92" t="s">
        <v>490</v>
      </c>
      <c r="K15" s="92" t="s">
        <v>491</v>
      </c>
      <c r="L15" s="92" t="s">
        <v>492</v>
      </c>
      <c r="M15" s="92" t="s">
        <v>493</v>
      </c>
      <c r="N15" s="92" t="s">
        <v>494</v>
      </c>
      <c r="O15" s="92" t="s">
        <v>495</v>
      </c>
      <c r="P15" s="92" t="s">
        <v>496</v>
      </c>
      <c r="Q15" s="92" t="s">
        <v>497</v>
      </c>
      <c r="R15" s="92" t="s">
        <v>498</v>
      </c>
      <c r="S15" s="172" t="str">
        <f t="shared" si="0"/>
        <v/>
      </c>
      <c r="T15" s="173"/>
      <c r="U15" s="14" t="str">
        <f t="shared" si="1"/>
        <v/>
      </c>
      <c r="V15" s="14" t="str">
        <f t="shared" si="2"/>
        <v/>
      </c>
      <c r="W15" s="71" t="str">
        <f>IF(SUM(I15:R15)&gt;0,IF(MIN(I15:R15)&lt;H15,"NG","G"),"")</f>
        <v/>
      </c>
      <c r="X15" s="15" t="s">
        <v>487</v>
      </c>
    </row>
    <row r="16" spans="1:24" ht="19.5" customHeight="1">
      <c r="A16" s="170"/>
      <c r="B16" s="171"/>
      <c r="C16" s="13" t="s">
        <v>476</v>
      </c>
      <c r="D16" s="72" t="s">
        <v>482</v>
      </c>
      <c r="E16" s="72" t="s">
        <v>483</v>
      </c>
      <c r="F16" s="72" t="s">
        <v>484</v>
      </c>
      <c r="G16" s="131" t="s">
        <v>485</v>
      </c>
      <c r="H16" s="131" t="s">
        <v>486</v>
      </c>
      <c r="I16" s="92" t="s">
        <v>499</v>
      </c>
      <c r="J16" s="92" t="s">
        <v>500</v>
      </c>
      <c r="K16" s="92" t="s">
        <v>501</v>
      </c>
      <c r="L16" s="92" t="s">
        <v>502</v>
      </c>
      <c r="M16" s="92" t="s">
        <v>503</v>
      </c>
      <c r="N16" s="92" t="s">
        <v>504</v>
      </c>
      <c r="O16" s="92" t="s">
        <v>505</v>
      </c>
      <c r="P16" s="92" t="s">
        <v>506</v>
      </c>
      <c r="Q16" s="92" t="s">
        <v>507</v>
      </c>
      <c r="R16" s="92" t="s">
        <v>508</v>
      </c>
      <c r="S16" s="172" t="str">
        <f>IF(SUM(I16:R16)&lt;0,AVERAGE(I16:R16),"")</f>
        <v/>
      </c>
      <c r="T16" s="173"/>
      <c r="U16" s="14" t="str">
        <f>IF(SUM(I16:R16)&lt;0,MAX(I16:R16),"")</f>
        <v/>
      </c>
      <c r="V16" s="14" t="str">
        <f>IF(SUM(I16:R16)&lt;0,MIN(I16:R16),"")</f>
        <v/>
      </c>
      <c r="W16" s="71" t="str">
        <f>IF(SUM(I16:R16)&lt;0,IF(MIN(I16:R16)&lt;H16,"NG","G"),"")</f>
        <v/>
      </c>
      <c r="X16" s="15" t="s">
        <v>488</v>
      </c>
    </row>
    <row r="17" spans="1:24" ht="19.5" customHeight="1">
      <c r="A17" s="166" t="s">
        <v>97</v>
      </c>
      <c r="B17" s="167"/>
      <c r="C17" s="112" t="s">
        <v>364</v>
      </c>
      <c r="D17" s="72" t="s">
        <v>367</v>
      </c>
      <c r="E17" s="140" t="s">
        <v>368</v>
      </c>
      <c r="F17" s="72" t="s">
        <v>395</v>
      </c>
      <c r="G17" s="131" t="s">
        <v>369</v>
      </c>
      <c r="H17" s="131" t="s">
        <v>379</v>
      </c>
      <c r="I17" s="92" t="s">
        <v>425</v>
      </c>
      <c r="J17" s="92" t="s">
        <v>426</v>
      </c>
      <c r="K17" s="92" t="s">
        <v>427</v>
      </c>
      <c r="L17" s="92" t="s">
        <v>428</v>
      </c>
      <c r="M17" s="92" t="s">
        <v>429</v>
      </c>
      <c r="N17" s="92" t="s">
        <v>430</v>
      </c>
      <c r="O17" s="92" t="s">
        <v>431</v>
      </c>
      <c r="P17" s="92" t="s">
        <v>432</v>
      </c>
      <c r="Q17" s="92" t="s">
        <v>433</v>
      </c>
      <c r="R17" s="92" t="s">
        <v>434</v>
      </c>
      <c r="S17" s="172" t="e">
        <f>IF(C17&lt;&gt;"",AVERAGE(I17:R17),"")</f>
        <v>#DIV/0!</v>
      </c>
      <c r="T17" s="173"/>
      <c r="U17" s="14">
        <f>IF(C17&lt;&gt;"",MAX(I17:R17),"")</f>
        <v>0</v>
      </c>
      <c r="V17" s="14">
        <f>IF(C17&lt;&gt;"",MIN(I17:R17),"")</f>
        <v>0</v>
      </c>
      <c r="W17" s="71" t="str">
        <f>IF(SUM(I17:R17)&gt;0,IF(MAX(I17:R17)&gt;G17,"NG","G"),"")</f>
        <v/>
      </c>
      <c r="X17" s="16" t="s">
        <v>376</v>
      </c>
    </row>
    <row r="18" spans="1:24" ht="19.5" customHeight="1">
      <c r="A18" s="168"/>
      <c r="B18" s="169"/>
      <c r="C18" s="112" t="s">
        <v>365</v>
      </c>
      <c r="D18" s="137" t="s">
        <v>370</v>
      </c>
      <c r="E18" s="137" t="s">
        <v>371</v>
      </c>
      <c r="F18" s="137" t="s">
        <v>402</v>
      </c>
      <c r="G18" s="114" t="s">
        <v>372</v>
      </c>
      <c r="H18" s="114" t="s">
        <v>380</v>
      </c>
      <c r="I18" s="93" t="s">
        <v>435</v>
      </c>
      <c r="J18" s="93" t="s">
        <v>436</v>
      </c>
      <c r="K18" s="93" t="s">
        <v>437</v>
      </c>
      <c r="L18" s="93" t="s">
        <v>438</v>
      </c>
      <c r="M18" s="93" t="s">
        <v>439</v>
      </c>
      <c r="N18" s="93" t="s">
        <v>440</v>
      </c>
      <c r="O18" s="93" t="s">
        <v>441</v>
      </c>
      <c r="P18" s="93" t="s">
        <v>442</v>
      </c>
      <c r="Q18" s="93" t="s">
        <v>443</v>
      </c>
      <c r="R18" s="93" t="s">
        <v>444</v>
      </c>
      <c r="S18" s="176" t="e">
        <f>IF(C18&lt;&gt;"",AVERAGE(I18:R18),"")</f>
        <v>#DIV/0!</v>
      </c>
      <c r="T18" s="177"/>
      <c r="U18" s="71">
        <f>IF(C18&lt;&gt;"",MAX(I18:R18),"")</f>
        <v>0</v>
      </c>
      <c r="V18" s="71">
        <f>IF(C18&lt;&gt;"",MIN(I18:R18),"")</f>
        <v>0</v>
      </c>
      <c r="W18" s="71" t="str">
        <f t="shared" ref="W18:W21" si="4">IF(SUM(I18:R18)&gt;0,IF(MAX(I18:R18)&gt;G18,"NG","G"),"")</f>
        <v/>
      </c>
      <c r="X18" s="89" t="s">
        <v>377</v>
      </c>
    </row>
    <row r="19" spans="1:24" ht="19.5" customHeight="1">
      <c r="A19" s="168"/>
      <c r="B19" s="169"/>
      <c r="C19" s="112" t="s">
        <v>366</v>
      </c>
      <c r="D19" s="15" t="s">
        <v>373</v>
      </c>
      <c r="E19" s="126" t="s">
        <v>374</v>
      </c>
      <c r="F19" s="15" t="s">
        <v>403</v>
      </c>
      <c r="G19" s="127" t="s">
        <v>375</v>
      </c>
      <c r="H19" s="127" t="s">
        <v>381</v>
      </c>
      <c r="I19" s="115" t="s">
        <v>445</v>
      </c>
      <c r="J19" s="115" t="s">
        <v>446</v>
      </c>
      <c r="K19" s="115" t="s">
        <v>447</v>
      </c>
      <c r="L19" s="115" t="s">
        <v>448</v>
      </c>
      <c r="M19" s="115" t="s">
        <v>449</v>
      </c>
      <c r="N19" s="116" t="s">
        <v>450</v>
      </c>
      <c r="O19" s="116" t="s">
        <v>451</v>
      </c>
      <c r="P19" s="116" t="s">
        <v>452</v>
      </c>
      <c r="Q19" s="116" t="s">
        <v>453</v>
      </c>
      <c r="R19" s="116" t="s">
        <v>454</v>
      </c>
      <c r="S19" s="178" t="e">
        <f>IF(C19&lt;&gt;"",AVERAGE(I19:R19),"")</f>
        <v>#DIV/0!</v>
      </c>
      <c r="T19" s="179"/>
      <c r="U19" s="132">
        <f>IF(C19&lt;&gt;"",MAX(I19:R19),"")</f>
        <v>0</v>
      </c>
      <c r="V19" s="132">
        <f>IF(C19&lt;&gt;"",MIN(I19:R19),"")</f>
        <v>0</v>
      </c>
      <c r="W19" s="71" t="str">
        <f>IF(SUM(I19:R19)&gt;0,IF(OR(MIN(I19:R19)&lt;H19,MAX(I19:R19)&gt;G19),"NG","G"),"")</f>
        <v/>
      </c>
      <c r="X19" s="89" t="s">
        <v>378</v>
      </c>
    </row>
    <row r="20" spans="1:24" ht="19.5" customHeight="1">
      <c r="A20" s="168"/>
      <c r="B20" s="169"/>
      <c r="C20" s="112" t="s">
        <v>396</v>
      </c>
      <c r="D20" s="15" t="s">
        <v>398</v>
      </c>
      <c r="E20" s="15" t="s">
        <v>399</v>
      </c>
      <c r="F20" s="15" t="s">
        <v>404</v>
      </c>
      <c r="G20" s="127" t="s">
        <v>406</v>
      </c>
      <c r="H20" s="127" t="s">
        <v>408</v>
      </c>
      <c r="I20" s="115" t="s">
        <v>455</v>
      </c>
      <c r="J20" s="115" t="s">
        <v>457</v>
      </c>
      <c r="K20" s="115" t="s">
        <v>458</v>
      </c>
      <c r="L20" s="115" t="s">
        <v>459</v>
      </c>
      <c r="M20" s="115" t="s">
        <v>460</v>
      </c>
      <c r="N20" s="115" t="s">
        <v>461</v>
      </c>
      <c r="O20" s="115" t="s">
        <v>462</v>
      </c>
      <c r="P20" s="115" t="s">
        <v>463</v>
      </c>
      <c r="Q20" s="115" t="s">
        <v>464</v>
      </c>
      <c r="R20" s="115" t="s">
        <v>465</v>
      </c>
      <c r="S20" s="178" t="e">
        <f>IF(C20&lt;&gt;"",AVERAGE(I20:R20),"")</f>
        <v>#DIV/0!</v>
      </c>
      <c r="T20" s="179"/>
      <c r="U20" s="132">
        <f>IF(C20&lt;&gt;"",MAX(I20:R20),"")</f>
        <v>0</v>
      </c>
      <c r="V20" s="132">
        <f>IF(C20&lt;&gt;"",MIN(I20:R20),"")</f>
        <v>0</v>
      </c>
      <c r="W20" s="71" t="str">
        <f>IF(SUM(I20:R20)&gt;0,IF(OR(MIN(I20:R20)&lt;H20,MAX(I20:R20)&gt;G20),"NG","G"),"")</f>
        <v/>
      </c>
      <c r="X20" s="89" t="s">
        <v>410</v>
      </c>
    </row>
    <row r="21" spans="1:24" ht="19.5" customHeight="1">
      <c r="A21" s="170"/>
      <c r="B21" s="171"/>
      <c r="C21" s="112" t="s">
        <v>397</v>
      </c>
      <c r="D21" s="15" t="s">
        <v>400</v>
      </c>
      <c r="E21" s="15" t="s">
        <v>401</v>
      </c>
      <c r="F21" s="15" t="s">
        <v>405</v>
      </c>
      <c r="G21" s="114" t="s">
        <v>407</v>
      </c>
      <c r="H21" s="114" t="s">
        <v>409</v>
      </c>
      <c r="I21" s="93" t="s">
        <v>456</v>
      </c>
      <c r="J21" s="93" t="s">
        <v>466</v>
      </c>
      <c r="K21" s="93" t="s">
        <v>467</v>
      </c>
      <c r="L21" s="93" t="s">
        <v>468</v>
      </c>
      <c r="M21" s="93" t="s">
        <v>469</v>
      </c>
      <c r="N21" s="93" t="s">
        <v>470</v>
      </c>
      <c r="O21" s="93" t="s">
        <v>471</v>
      </c>
      <c r="P21" s="93" t="s">
        <v>472</v>
      </c>
      <c r="Q21" s="93" t="s">
        <v>473</v>
      </c>
      <c r="R21" s="93" t="s">
        <v>474</v>
      </c>
      <c r="S21" s="176" t="e">
        <f>IF(C21&lt;&gt;"",AVERAGE(I21:R21),"")</f>
        <v>#DIV/0!</v>
      </c>
      <c r="T21" s="177"/>
      <c r="U21" s="71">
        <f>IF(C21&lt;&gt;"",MAX(I21:R21),"")</f>
        <v>0</v>
      </c>
      <c r="V21" s="71">
        <f>IF(C21&lt;&gt;"",MIN(I21:R21),"")</f>
        <v>0</v>
      </c>
      <c r="W21" s="71" t="str">
        <f t="shared" si="4"/>
        <v/>
      </c>
      <c r="X21" s="89" t="s">
        <v>411</v>
      </c>
    </row>
    <row r="22" spans="1:24" ht="23.25" customHeight="1">
      <c r="A22" s="185" t="s">
        <v>96</v>
      </c>
      <c r="B22" s="186"/>
      <c r="C22" s="180" t="s">
        <v>347</v>
      </c>
      <c r="D22" s="181"/>
      <c r="E22" s="181"/>
      <c r="F22" s="181"/>
      <c r="G22" s="181"/>
      <c r="H22" s="182"/>
      <c r="I22" s="17" t="s">
        <v>221</v>
      </c>
      <c r="J22" s="17" t="s">
        <v>222</v>
      </c>
      <c r="K22" s="17" t="s">
        <v>223</v>
      </c>
      <c r="L22" s="17" t="s">
        <v>224</v>
      </c>
      <c r="M22" s="17" t="s">
        <v>225</v>
      </c>
      <c r="N22" s="17" t="s">
        <v>226</v>
      </c>
      <c r="O22" s="17" t="s">
        <v>227</v>
      </c>
      <c r="P22" s="17" t="s">
        <v>228</v>
      </c>
      <c r="Q22" s="17" t="s">
        <v>229</v>
      </c>
      <c r="R22" s="17" t="s">
        <v>230</v>
      </c>
      <c r="S22" s="183"/>
      <c r="T22" s="184"/>
      <c r="U22" s="19"/>
      <c r="V22" s="19"/>
      <c r="W22" s="71" t="str">
        <f>IF(AND(I22="",J22="",K22="",L22="",M22="",N22="",O22="",P22="",Q22="",R22=""),"",IF(AND(I22="G",J22="G",K22="G",L22="G",M22="G",N22="G",O22="G",P22="G",Q22="G",R22="G"),"G","NG"))</f>
        <v>NG</v>
      </c>
      <c r="X22" s="19"/>
    </row>
    <row r="23" spans="1:24" ht="23.25" customHeight="1">
      <c r="A23" s="187"/>
      <c r="B23" s="188"/>
      <c r="C23" s="180" t="s">
        <v>348</v>
      </c>
      <c r="D23" s="181"/>
      <c r="E23" s="181"/>
      <c r="F23" s="181"/>
      <c r="G23" s="181"/>
      <c r="H23" s="182"/>
      <c r="I23" s="17" t="s">
        <v>231</v>
      </c>
      <c r="J23" s="17" t="s">
        <v>232</v>
      </c>
      <c r="K23" s="17" t="s">
        <v>233</v>
      </c>
      <c r="L23" s="17" t="s">
        <v>234</v>
      </c>
      <c r="M23" s="17" t="s">
        <v>235</v>
      </c>
      <c r="N23" s="17" t="s">
        <v>236</v>
      </c>
      <c r="O23" s="17" t="s">
        <v>237</v>
      </c>
      <c r="P23" s="17" t="s">
        <v>238</v>
      </c>
      <c r="Q23" s="17" t="s">
        <v>239</v>
      </c>
      <c r="R23" s="17" t="s">
        <v>240</v>
      </c>
      <c r="S23" s="183"/>
      <c r="T23" s="184"/>
      <c r="U23" s="19"/>
      <c r="V23" s="19"/>
      <c r="W23" s="71" t="str">
        <f t="shared" ref="W23:W32" si="5">IF(AND(I23="",J23="",K23="",L23="",M23="",N23="",O23="",P23="",Q23="",R23=""),"",IF(AND(I23="G",J23="G",K23="G",L23="G",M23="G",N23="G",O23="G",P23="G",Q23="G",R23="G"),"G","NG"))</f>
        <v>NG</v>
      </c>
      <c r="X23" s="19"/>
    </row>
    <row r="24" spans="1:24" ht="23.25" customHeight="1">
      <c r="A24" s="187"/>
      <c r="B24" s="188"/>
      <c r="C24" s="180" t="s">
        <v>349</v>
      </c>
      <c r="D24" s="181"/>
      <c r="E24" s="181"/>
      <c r="F24" s="181"/>
      <c r="G24" s="181"/>
      <c r="H24" s="182"/>
      <c r="I24" s="17" t="s">
        <v>241</v>
      </c>
      <c r="J24" s="17" t="s">
        <v>242</v>
      </c>
      <c r="K24" s="17" t="s">
        <v>243</v>
      </c>
      <c r="L24" s="17" t="s">
        <v>244</v>
      </c>
      <c r="M24" s="17" t="s">
        <v>245</v>
      </c>
      <c r="N24" s="17" t="s">
        <v>246</v>
      </c>
      <c r="O24" s="17" t="s">
        <v>247</v>
      </c>
      <c r="P24" s="17" t="s">
        <v>248</v>
      </c>
      <c r="Q24" s="17" t="s">
        <v>249</v>
      </c>
      <c r="R24" s="17" t="s">
        <v>250</v>
      </c>
      <c r="S24" s="183"/>
      <c r="T24" s="184"/>
      <c r="U24" s="19"/>
      <c r="V24" s="19"/>
      <c r="W24" s="71" t="str">
        <f t="shared" si="5"/>
        <v>NG</v>
      </c>
      <c r="X24" s="19"/>
    </row>
    <row r="25" spans="1:24" ht="23.25" customHeight="1">
      <c r="A25" s="187"/>
      <c r="B25" s="188"/>
      <c r="C25" s="180" t="s">
        <v>350</v>
      </c>
      <c r="D25" s="181"/>
      <c r="E25" s="181"/>
      <c r="F25" s="181"/>
      <c r="G25" s="181"/>
      <c r="H25" s="182"/>
      <c r="I25" s="17" t="s">
        <v>251</v>
      </c>
      <c r="J25" s="17" t="s">
        <v>252</v>
      </c>
      <c r="K25" s="17" t="s">
        <v>253</v>
      </c>
      <c r="L25" s="17" t="s">
        <v>254</v>
      </c>
      <c r="M25" s="17" t="s">
        <v>255</v>
      </c>
      <c r="N25" s="17" t="s">
        <v>256</v>
      </c>
      <c r="O25" s="17" t="s">
        <v>257</v>
      </c>
      <c r="P25" s="17" t="s">
        <v>258</v>
      </c>
      <c r="Q25" s="17" t="s">
        <v>259</v>
      </c>
      <c r="R25" s="17" t="s">
        <v>260</v>
      </c>
      <c r="S25" s="183"/>
      <c r="T25" s="184"/>
      <c r="U25" s="18"/>
      <c r="V25" s="18"/>
      <c r="W25" s="71" t="str">
        <f t="shared" si="5"/>
        <v>NG</v>
      </c>
      <c r="X25" s="18"/>
    </row>
    <row r="26" spans="1:24" ht="23.25" customHeight="1">
      <c r="A26" s="187"/>
      <c r="B26" s="188"/>
      <c r="C26" s="180" t="s">
        <v>351</v>
      </c>
      <c r="D26" s="181"/>
      <c r="E26" s="181"/>
      <c r="F26" s="181"/>
      <c r="G26" s="181"/>
      <c r="H26" s="182"/>
      <c r="I26" s="17" t="s">
        <v>261</v>
      </c>
      <c r="J26" s="17" t="s">
        <v>262</v>
      </c>
      <c r="K26" s="17" t="s">
        <v>263</v>
      </c>
      <c r="L26" s="17" t="s">
        <v>264</v>
      </c>
      <c r="M26" s="17" t="s">
        <v>265</v>
      </c>
      <c r="N26" s="17" t="s">
        <v>266</v>
      </c>
      <c r="O26" s="17" t="s">
        <v>267</v>
      </c>
      <c r="P26" s="17" t="s">
        <v>268</v>
      </c>
      <c r="Q26" s="17" t="s">
        <v>269</v>
      </c>
      <c r="R26" s="17" t="s">
        <v>270</v>
      </c>
      <c r="S26" s="183"/>
      <c r="T26" s="184"/>
      <c r="U26" s="18"/>
      <c r="V26" s="18"/>
      <c r="W26" s="71" t="str">
        <f t="shared" si="5"/>
        <v>NG</v>
      </c>
      <c r="X26" s="18"/>
    </row>
    <row r="27" spans="1:24" ht="23.25" customHeight="1">
      <c r="A27" s="187"/>
      <c r="B27" s="188"/>
      <c r="C27" s="180" t="s">
        <v>352</v>
      </c>
      <c r="D27" s="181"/>
      <c r="E27" s="181"/>
      <c r="F27" s="181"/>
      <c r="G27" s="181"/>
      <c r="H27" s="182"/>
      <c r="I27" s="17" t="s">
        <v>271</v>
      </c>
      <c r="J27" s="17" t="s">
        <v>272</v>
      </c>
      <c r="K27" s="17" t="s">
        <v>273</v>
      </c>
      <c r="L27" s="17" t="s">
        <v>274</v>
      </c>
      <c r="M27" s="17" t="s">
        <v>275</v>
      </c>
      <c r="N27" s="17" t="s">
        <v>276</v>
      </c>
      <c r="O27" s="17" t="s">
        <v>277</v>
      </c>
      <c r="P27" s="17" t="s">
        <v>278</v>
      </c>
      <c r="Q27" s="17" t="s">
        <v>279</v>
      </c>
      <c r="R27" s="17" t="s">
        <v>280</v>
      </c>
      <c r="S27" s="183"/>
      <c r="T27" s="184"/>
      <c r="U27" s="74"/>
      <c r="V27" s="74"/>
      <c r="W27" s="71" t="str">
        <f t="shared" si="5"/>
        <v>NG</v>
      </c>
      <c r="X27" s="74"/>
    </row>
    <row r="28" spans="1:24" ht="23.25" customHeight="1">
      <c r="A28" s="187"/>
      <c r="B28" s="188"/>
      <c r="C28" s="180" t="s">
        <v>353</v>
      </c>
      <c r="D28" s="181"/>
      <c r="E28" s="181"/>
      <c r="F28" s="181"/>
      <c r="G28" s="181"/>
      <c r="H28" s="182"/>
      <c r="I28" s="17" t="s">
        <v>281</v>
      </c>
      <c r="J28" s="17" t="s">
        <v>282</v>
      </c>
      <c r="K28" s="17" t="s">
        <v>283</v>
      </c>
      <c r="L28" s="17" t="s">
        <v>284</v>
      </c>
      <c r="M28" s="17" t="s">
        <v>285</v>
      </c>
      <c r="N28" s="17" t="s">
        <v>286</v>
      </c>
      <c r="O28" s="17" t="s">
        <v>287</v>
      </c>
      <c r="P28" s="17" t="s">
        <v>288</v>
      </c>
      <c r="Q28" s="17" t="s">
        <v>289</v>
      </c>
      <c r="R28" s="17" t="s">
        <v>290</v>
      </c>
      <c r="S28" s="183"/>
      <c r="T28" s="184"/>
      <c r="U28" s="18"/>
      <c r="V28" s="18"/>
      <c r="W28" s="71" t="str">
        <f t="shared" si="5"/>
        <v>NG</v>
      </c>
      <c r="X28" s="18"/>
    </row>
    <row r="29" spans="1:24" ht="23.25" customHeight="1">
      <c r="A29" s="187"/>
      <c r="B29" s="188"/>
      <c r="C29" s="180" t="s">
        <v>354</v>
      </c>
      <c r="D29" s="181"/>
      <c r="E29" s="181"/>
      <c r="F29" s="181"/>
      <c r="G29" s="181"/>
      <c r="H29" s="182"/>
      <c r="I29" s="17" t="s">
        <v>291</v>
      </c>
      <c r="J29" s="17" t="s">
        <v>292</v>
      </c>
      <c r="K29" s="17" t="s">
        <v>293</v>
      </c>
      <c r="L29" s="17" t="s">
        <v>294</v>
      </c>
      <c r="M29" s="17" t="s">
        <v>295</v>
      </c>
      <c r="N29" s="17" t="s">
        <v>296</v>
      </c>
      <c r="O29" s="17" t="s">
        <v>297</v>
      </c>
      <c r="P29" s="17" t="s">
        <v>298</v>
      </c>
      <c r="Q29" s="17" t="s">
        <v>299</v>
      </c>
      <c r="R29" s="17" t="s">
        <v>300</v>
      </c>
      <c r="S29" s="183"/>
      <c r="T29" s="184"/>
      <c r="U29" s="18"/>
      <c r="V29" s="18"/>
      <c r="W29" s="71" t="str">
        <f t="shared" si="5"/>
        <v>NG</v>
      </c>
      <c r="X29" s="18"/>
    </row>
    <row r="30" spans="1:24" ht="23.25" customHeight="1">
      <c r="A30" s="187"/>
      <c r="B30" s="188"/>
      <c r="C30" s="180" t="s">
        <v>355</v>
      </c>
      <c r="D30" s="181"/>
      <c r="E30" s="181"/>
      <c r="F30" s="181"/>
      <c r="G30" s="181"/>
      <c r="H30" s="182"/>
      <c r="I30" s="17" t="s">
        <v>301</v>
      </c>
      <c r="J30" s="17" t="s">
        <v>302</v>
      </c>
      <c r="K30" s="17" t="s">
        <v>303</v>
      </c>
      <c r="L30" s="17" t="s">
        <v>304</v>
      </c>
      <c r="M30" s="17" t="s">
        <v>305</v>
      </c>
      <c r="N30" s="17" t="s">
        <v>306</v>
      </c>
      <c r="O30" s="17" t="s">
        <v>307</v>
      </c>
      <c r="P30" s="17" t="s">
        <v>308</v>
      </c>
      <c r="Q30" s="17" t="s">
        <v>309</v>
      </c>
      <c r="R30" s="17" t="s">
        <v>310</v>
      </c>
      <c r="S30" s="183"/>
      <c r="T30" s="184"/>
      <c r="U30" s="18"/>
      <c r="V30" s="18"/>
      <c r="W30" s="71" t="str">
        <f t="shared" si="5"/>
        <v>NG</v>
      </c>
      <c r="X30" s="18"/>
    </row>
    <row r="31" spans="1:24" ht="23.25" customHeight="1">
      <c r="A31" s="187"/>
      <c r="B31" s="188"/>
      <c r="C31" s="180" t="s">
        <v>356</v>
      </c>
      <c r="D31" s="181"/>
      <c r="E31" s="181"/>
      <c r="F31" s="181"/>
      <c r="G31" s="181"/>
      <c r="H31" s="182"/>
      <c r="I31" s="17" t="s">
        <v>311</v>
      </c>
      <c r="J31" s="17" t="s">
        <v>312</v>
      </c>
      <c r="K31" s="17" t="s">
        <v>313</v>
      </c>
      <c r="L31" s="17" t="s">
        <v>314</v>
      </c>
      <c r="M31" s="17" t="s">
        <v>315</v>
      </c>
      <c r="N31" s="17" t="s">
        <v>316</v>
      </c>
      <c r="O31" s="17" t="s">
        <v>317</v>
      </c>
      <c r="P31" s="17" t="s">
        <v>318</v>
      </c>
      <c r="Q31" s="17" t="s">
        <v>319</v>
      </c>
      <c r="R31" s="17" t="s">
        <v>320</v>
      </c>
      <c r="S31" s="183"/>
      <c r="T31" s="184"/>
      <c r="U31" s="18"/>
      <c r="V31" s="18"/>
      <c r="W31" s="71" t="str">
        <f t="shared" si="5"/>
        <v>NG</v>
      </c>
      <c r="X31" s="18"/>
    </row>
    <row r="32" spans="1:24" ht="23.25" customHeight="1">
      <c r="A32" s="189"/>
      <c r="B32" s="190"/>
      <c r="C32" s="180" t="s">
        <v>357</v>
      </c>
      <c r="D32" s="181"/>
      <c r="E32" s="181"/>
      <c r="F32" s="181"/>
      <c r="G32" s="181"/>
      <c r="H32" s="182"/>
      <c r="I32" s="17" t="s">
        <v>321</v>
      </c>
      <c r="J32" s="17" t="s">
        <v>322</v>
      </c>
      <c r="K32" s="17" t="s">
        <v>323</v>
      </c>
      <c r="L32" s="17" t="s">
        <v>324</v>
      </c>
      <c r="M32" s="17" t="s">
        <v>325</v>
      </c>
      <c r="N32" s="17" t="s">
        <v>326</v>
      </c>
      <c r="O32" s="17" t="s">
        <v>327</v>
      </c>
      <c r="P32" s="17" t="s">
        <v>328</v>
      </c>
      <c r="Q32" s="17" t="s">
        <v>329</v>
      </c>
      <c r="R32" s="17" t="s">
        <v>330</v>
      </c>
      <c r="S32" s="183"/>
      <c r="T32" s="184"/>
      <c r="U32" s="18"/>
      <c r="V32" s="18"/>
      <c r="W32" s="71" t="str">
        <f t="shared" si="5"/>
        <v>NG</v>
      </c>
      <c r="X32" s="75"/>
    </row>
    <row r="33" spans="1:25" ht="19.5" customHeight="1" thickBot="1">
      <c r="A33" s="106" t="s">
        <v>95</v>
      </c>
      <c r="B33" s="102"/>
      <c r="C33" s="20"/>
      <c r="D33" s="21"/>
      <c r="E33" s="22"/>
      <c r="F33" s="22"/>
      <c r="G33" s="22"/>
      <c r="H33" s="22"/>
      <c r="I33" s="23"/>
      <c r="J33" s="23"/>
      <c r="K33" s="23"/>
      <c r="L33" s="23"/>
      <c r="M33" s="23"/>
      <c r="N33" s="20"/>
      <c r="O33" s="20"/>
      <c r="P33" s="20"/>
      <c r="Q33" s="59"/>
      <c r="R33" s="23"/>
      <c r="S33" s="23"/>
      <c r="T33" s="59"/>
      <c r="U33" s="23"/>
      <c r="V33" s="23"/>
      <c r="W33" s="22"/>
      <c r="X33" s="24"/>
    </row>
    <row r="34" spans="1:25" ht="19.5" customHeight="1" thickBot="1">
      <c r="A34" s="76"/>
      <c r="B34" s="102"/>
      <c r="C34" s="78"/>
      <c r="D34" s="21"/>
      <c r="E34" s="22"/>
      <c r="F34" s="22"/>
      <c r="G34" s="22"/>
      <c r="H34" s="22"/>
      <c r="I34" s="23"/>
      <c r="J34" s="23"/>
      <c r="K34" s="23"/>
      <c r="L34" s="23"/>
      <c r="M34" s="23"/>
      <c r="N34" s="20"/>
      <c r="O34" s="59"/>
      <c r="P34" s="191" t="s">
        <v>72</v>
      </c>
      <c r="Q34" s="192"/>
      <c r="R34" s="193"/>
      <c r="S34" s="194" t="s">
        <v>73</v>
      </c>
      <c r="T34" s="195"/>
      <c r="U34" s="195"/>
      <c r="V34" s="196"/>
      <c r="W34" s="79" t="s">
        <v>68</v>
      </c>
      <c r="X34" s="24"/>
    </row>
    <row r="35" spans="1:25" ht="19.5" customHeight="1">
      <c r="A35" s="76"/>
      <c r="B35" s="102"/>
      <c r="C35" s="20"/>
      <c r="D35" s="21"/>
      <c r="E35" s="22"/>
      <c r="F35" s="22"/>
      <c r="G35" s="22"/>
      <c r="H35" s="22"/>
      <c r="I35" s="23"/>
      <c r="J35" s="23"/>
      <c r="K35" s="23"/>
      <c r="L35" s="23"/>
      <c r="M35" s="23"/>
      <c r="N35" s="20"/>
      <c r="O35" s="59"/>
      <c r="P35" s="197" t="s">
        <v>74</v>
      </c>
      <c r="Q35" s="198"/>
      <c r="R35" s="199"/>
      <c r="S35" s="200" t="s">
        <v>75</v>
      </c>
      <c r="T35" s="201"/>
      <c r="U35" s="201"/>
      <c r="V35" s="202"/>
      <c r="W35" s="25" t="s">
        <v>345</v>
      </c>
      <c r="X35" s="24"/>
    </row>
    <row r="36" spans="1:25" ht="19.5" customHeight="1">
      <c r="A36" s="76"/>
      <c r="B36" s="102"/>
      <c r="C36" s="20"/>
      <c r="D36" s="21"/>
      <c r="E36" s="22"/>
      <c r="F36" s="22"/>
      <c r="G36" s="22"/>
      <c r="H36" s="22"/>
      <c r="I36" s="23"/>
      <c r="J36" s="23"/>
      <c r="K36" s="23"/>
      <c r="L36" s="23"/>
      <c r="M36" s="23"/>
      <c r="N36" s="20"/>
      <c r="O36" s="59"/>
      <c r="P36" s="203" t="s">
        <v>76</v>
      </c>
      <c r="Q36" s="204"/>
      <c r="R36" s="205"/>
      <c r="S36" s="206" t="s">
        <v>77</v>
      </c>
      <c r="T36" s="207"/>
      <c r="U36" s="207"/>
      <c r="V36" s="208"/>
      <c r="W36" s="25" t="s">
        <v>345</v>
      </c>
      <c r="X36" s="24"/>
    </row>
    <row r="37" spans="1:25" ht="19.5" customHeight="1">
      <c r="A37" s="76"/>
      <c r="B37" s="102"/>
      <c r="C37" s="20"/>
      <c r="D37" s="21"/>
      <c r="E37" s="22"/>
      <c r="F37" s="22"/>
      <c r="G37" s="22"/>
      <c r="H37" s="22"/>
      <c r="I37" s="23"/>
      <c r="J37" s="23"/>
      <c r="K37" s="23"/>
      <c r="L37" s="23"/>
      <c r="M37" s="23"/>
      <c r="N37" s="20"/>
      <c r="O37" s="59"/>
      <c r="P37" s="248" t="s">
        <v>413</v>
      </c>
      <c r="Q37" s="249"/>
      <c r="R37" s="250"/>
      <c r="S37" s="206" t="s">
        <v>78</v>
      </c>
      <c r="T37" s="207"/>
      <c r="U37" s="207"/>
      <c r="V37" s="208"/>
      <c r="W37" s="25" t="s">
        <v>345</v>
      </c>
      <c r="X37" s="24"/>
    </row>
    <row r="38" spans="1:25" ht="22.5" customHeight="1">
      <c r="A38" s="76"/>
      <c r="B38" s="102"/>
      <c r="C38" s="20"/>
      <c r="D38" s="21"/>
      <c r="E38" s="22"/>
      <c r="F38" s="22"/>
      <c r="G38" s="22"/>
      <c r="H38" s="22"/>
      <c r="I38" s="23"/>
      <c r="J38" s="23"/>
      <c r="K38" s="23"/>
      <c r="L38" s="23"/>
      <c r="M38" s="23"/>
      <c r="N38" s="20"/>
      <c r="O38" s="59"/>
      <c r="P38" s="251"/>
      <c r="Q38" s="252"/>
      <c r="R38" s="253"/>
      <c r="S38" s="206" t="s">
        <v>79</v>
      </c>
      <c r="T38" s="207"/>
      <c r="U38" s="207"/>
      <c r="V38" s="208"/>
      <c r="W38" s="25" t="s">
        <v>345</v>
      </c>
      <c r="X38" s="24"/>
    </row>
    <row r="39" spans="1:25" ht="22.5" customHeight="1" thickBot="1">
      <c r="A39" s="76"/>
      <c r="B39" s="102"/>
      <c r="C39" s="20"/>
      <c r="D39" s="21"/>
      <c r="E39" s="22"/>
      <c r="F39" s="22"/>
      <c r="G39" s="22"/>
      <c r="H39" s="22"/>
      <c r="I39" s="23"/>
      <c r="J39" s="23"/>
      <c r="K39" s="23"/>
      <c r="L39" s="23"/>
      <c r="M39" s="23"/>
      <c r="N39" s="20"/>
      <c r="O39" s="59"/>
      <c r="P39" s="254"/>
      <c r="Q39" s="255"/>
      <c r="R39" s="256"/>
      <c r="S39" s="257" t="s">
        <v>80</v>
      </c>
      <c r="T39" s="258"/>
      <c r="U39" s="258"/>
      <c r="V39" s="259"/>
      <c r="W39" s="123" t="s">
        <v>345</v>
      </c>
      <c r="X39" s="24"/>
    </row>
    <row r="40" spans="1:25" ht="22.5" customHeight="1" thickBot="1">
      <c r="A40" s="76"/>
      <c r="B40" s="102"/>
      <c r="C40" s="20"/>
      <c r="D40" s="21"/>
      <c r="E40" s="22"/>
      <c r="F40" s="22"/>
      <c r="G40" s="22"/>
      <c r="H40" s="22"/>
      <c r="I40" s="23"/>
      <c r="J40" s="23"/>
      <c r="K40" s="23"/>
      <c r="L40" s="23"/>
      <c r="M40" s="23"/>
      <c r="N40" s="20"/>
      <c r="O40" s="20"/>
      <c r="P40" s="20"/>
      <c r="Q40" s="59"/>
      <c r="R40" s="23"/>
      <c r="S40" s="23"/>
      <c r="T40" s="59"/>
      <c r="U40" s="23"/>
      <c r="V40" s="23"/>
      <c r="W40" s="22"/>
      <c r="X40" s="24"/>
    </row>
    <row r="41" spans="1:25" ht="3.75" customHeight="1">
      <c r="A41" s="76"/>
      <c r="B41" s="102"/>
      <c r="C41" s="20"/>
      <c r="D41" s="21"/>
      <c r="E41" s="22"/>
      <c r="F41" s="22"/>
      <c r="G41" s="22"/>
      <c r="H41" s="22"/>
      <c r="I41" s="23"/>
      <c r="J41" s="23"/>
      <c r="K41" s="23"/>
      <c r="L41" s="23"/>
      <c r="M41" s="23"/>
      <c r="N41" s="20"/>
      <c r="O41" s="20"/>
      <c r="P41" s="260" t="s">
        <v>81</v>
      </c>
      <c r="Q41" s="261"/>
      <c r="R41" s="262"/>
      <c r="S41" s="95"/>
      <c r="T41" s="94"/>
      <c r="U41" s="95"/>
      <c r="V41" s="96"/>
      <c r="W41" s="22"/>
      <c r="X41" s="24"/>
    </row>
    <row r="42" spans="1:25" ht="22.5" customHeight="1" thickBot="1">
      <c r="A42" s="76"/>
      <c r="B42" s="102"/>
      <c r="C42" s="20"/>
      <c r="D42" s="21"/>
      <c r="E42" s="22"/>
      <c r="F42" s="22"/>
      <c r="G42" s="22"/>
      <c r="H42" s="22"/>
      <c r="I42" s="23"/>
      <c r="J42" s="23"/>
      <c r="K42" s="23"/>
      <c r="L42" s="23"/>
      <c r="M42" s="23"/>
      <c r="N42" s="20"/>
      <c r="O42" s="20"/>
      <c r="P42" s="263"/>
      <c r="Q42" s="264"/>
      <c r="R42" s="265"/>
      <c r="S42" s="147"/>
      <c r="T42" s="113"/>
      <c r="U42" s="97"/>
      <c r="V42" s="98"/>
      <c r="W42" s="22"/>
      <c r="X42" s="24"/>
    </row>
    <row r="43" spans="1:25" ht="8.25" customHeight="1" thickBot="1">
      <c r="A43" s="107"/>
      <c r="B43" s="103"/>
      <c r="C43" s="26"/>
      <c r="D43" s="27"/>
      <c r="E43" s="28"/>
      <c r="F43" s="28"/>
      <c r="G43" s="28"/>
      <c r="H43" s="28"/>
      <c r="I43" s="29"/>
      <c r="J43" s="29"/>
      <c r="K43" s="29"/>
      <c r="L43" s="29"/>
      <c r="M43" s="29"/>
      <c r="N43" s="26"/>
      <c r="O43" s="26"/>
      <c r="P43" s="26"/>
      <c r="Q43" s="81"/>
      <c r="R43" s="29"/>
      <c r="S43" s="29"/>
      <c r="T43" s="81"/>
      <c r="U43" s="29"/>
      <c r="V43" s="29"/>
      <c r="W43" s="28"/>
      <c r="X43" s="30"/>
    </row>
    <row r="44" spans="1:25" ht="8.25" customHeight="1" thickBot="1">
      <c r="B44" s="59"/>
      <c r="C44" s="20"/>
      <c r="D44" s="21"/>
      <c r="E44" s="22"/>
      <c r="F44" s="22"/>
      <c r="G44" s="22"/>
      <c r="H44" s="22"/>
      <c r="I44" s="23"/>
      <c r="J44" s="23"/>
      <c r="K44" s="23"/>
      <c r="L44" s="23"/>
      <c r="M44" s="23"/>
      <c r="N44" s="20"/>
      <c r="O44" s="20"/>
      <c r="P44" s="20"/>
      <c r="Q44" s="59"/>
      <c r="R44" s="23"/>
      <c r="S44" s="23"/>
      <c r="T44" s="59"/>
      <c r="U44" s="23"/>
      <c r="V44" s="23"/>
      <c r="W44" s="22"/>
      <c r="X44" s="23"/>
    </row>
    <row r="45" spans="1:25" ht="12.75" customHeight="1">
      <c r="A45" s="209" t="s">
        <v>13</v>
      </c>
      <c r="B45" s="210"/>
      <c r="C45" s="211"/>
      <c r="D45" s="218" t="s">
        <v>345</v>
      </c>
      <c r="E45" s="219"/>
      <c r="F45" s="219"/>
      <c r="G45" s="220"/>
      <c r="H45" s="227" t="s">
        <v>4</v>
      </c>
      <c r="I45" s="228"/>
      <c r="J45" s="229"/>
      <c r="K45" s="236" t="s">
        <v>107</v>
      </c>
      <c r="L45" s="237"/>
      <c r="M45" s="237"/>
      <c r="N45" s="237"/>
      <c r="O45" s="238"/>
      <c r="P45" s="242" t="s">
        <v>69</v>
      </c>
      <c r="Q45" s="243"/>
      <c r="R45" s="31" t="s">
        <v>70</v>
      </c>
      <c r="S45" s="266" t="s">
        <v>94</v>
      </c>
      <c r="T45" s="267"/>
      <c r="U45" s="267"/>
      <c r="V45" s="267"/>
      <c r="W45" s="267"/>
      <c r="X45" s="268"/>
      <c r="Y45" s="20"/>
    </row>
    <row r="46" spans="1:25" ht="12.75" customHeight="1">
      <c r="A46" s="212"/>
      <c r="B46" s="213"/>
      <c r="C46" s="214"/>
      <c r="D46" s="221"/>
      <c r="E46" s="222"/>
      <c r="F46" s="222"/>
      <c r="G46" s="223"/>
      <c r="H46" s="230"/>
      <c r="I46" s="231"/>
      <c r="J46" s="232"/>
      <c r="K46" s="239"/>
      <c r="L46" s="240"/>
      <c r="M46" s="240"/>
      <c r="N46" s="240"/>
      <c r="O46" s="241"/>
      <c r="P46" s="244"/>
      <c r="Q46" s="245"/>
      <c r="R46" s="32" t="s">
        <v>93</v>
      </c>
      <c r="S46" s="269" t="s">
        <v>92</v>
      </c>
      <c r="T46" s="270"/>
      <c r="U46" s="270"/>
      <c r="V46" s="270"/>
      <c r="W46" s="270"/>
      <c r="X46" s="271"/>
      <c r="Y46" s="20"/>
    </row>
    <row r="47" spans="1:25" ht="12.75" customHeight="1">
      <c r="A47" s="212"/>
      <c r="B47" s="213"/>
      <c r="C47" s="214"/>
      <c r="D47" s="221"/>
      <c r="E47" s="222"/>
      <c r="F47" s="222"/>
      <c r="G47" s="223"/>
      <c r="H47" s="230"/>
      <c r="I47" s="231"/>
      <c r="J47" s="232"/>
      <c r="K47" s="239"/>
      <c r="L47" s="240"/>
      <c r="M47" s="240"/>
      <c r="N47" s="240"/>
      <c r="O47" s="241"/>
      <c r="P47" s="244"/>
      <c r="Q47" s="245"/>
      <c r="R47" s="32" t="s">
        <v>82</v>
      </c>
      <c r="S47" s="272" t="s">
        <v>83</v>
      </c>
      <c r="T47" s="273"/>
      <c r="U47" s="273"/>
      <c r="V47" s="273"/>
      <c r="W47" s="273"/>
      <c r="X47" s="274"/>
      <c r="Y47" s="20"/>
    </row>
    <row r="48" spans="1:25" ht="12.75" customHeight="1">
      <c r="A48" s="212"/>
      <c r="B48" s="213"/>
      <c r="C48" s="214"/>
      <c r="D48" s="221"/>
      <c r="E48" s="222"/>
      <c r="F48" s="222"/>
      <c r="G48" s="223"/>
      <c r="H48" s="230"/>
      <c r="I48" s="231"/>
      <c r="J48" s="232"/>
      <c r="K48" s="275" t="str">
        <f>CONCATENATE("*",K45,"*")</f>
        <v>*#8#*</v>
      </c>
      <c r="L48" s="276"/>
      <c r="M48" s="276"/>
      <c r="N48" s="276"/>
      <c r="O48" s="277"/>
      <c r="P48" s="244"/>
      <c r="Q48" s="245"/>
      <c r="R48" s="32" t="s">
        <v>84</v>
      </c>
      <c r="S48" s="272" t="s">
        <v>85</v>
      </c>
      <c r="T48" s="273"/>
      <c r="U48" s="273"/>
      <c r="V48" s="273"/>
      <c r="W48" s="273"/>
      <c r="X48" s="274"/>
      <c r="Y48" s="20"/>
    </row>
    <row r="49" spans="1:25" ht="12.75" customHeight="1">
      <c r="A49" s="212"/>
      <c r="B49" s="213"/>
      <c r="C49" s="214"/>
      <c r="D49" s="221"/>
      <c r="E49" s="222"/>
      <c r="F49" s="222"/>
      <c r="G49" s="223"/>
      <c r="H49" s="230"/>
      <c r="I49" s="231"/>
      <c r="J49" s="232"/>
      <c r="K49" s="278"/>
      <c r="L49" s="276"/>
      <c r="M49" s="276"/>
      <c r="N49" s="276"/>
      <c r="O49" s="277"/>
      <c r="P49" s="244"/>
      <c r="Q49" s="245"/>
      <c r="R49" s="32" t="s">
        <v>86</v>
      </c>
      <c r="S49" s="282" t="s">
        <v>87</v>
      </c>
      <c r="T49" s="283"/>
      <c r="U49" s="283"/>
      <c r="V49" s="283"/>
      <c r="W49" s="283"/>
      <c r="X49" s="284"/>
      <c r="Y49" s="20"/>
    </row>
    <row r="50" spans="1:25" ht="12.75" customHeight="1">
      <c r="A50" s="212"/>
      <c r="B50" s="213"/>
      <c r="C50" s="214"/>
      <c r="D50" s="221"/>
      <c r="E50" s="222"/>
      <c r="F50" s="222"/>
      <c r="G50" s="223"/>
      <c r="H50" s="230"/>
      <c r="I50" s="231"/>
      <c r="J50" s="232"/>
      <c r="K50" s="278"/>
      <c r="L50" s="276"/>
      <c r="M50" s="276"/>
      <c r="N50" s="276"/>
      <c r="O50" s="277"/>
      <c r="P50" s="244"/>
      <c r="Q50" s="245"/>
      <c r="R50" s="82" t="s">
        <v>385</v>
      </c>
      <c r="S50" s="282" t="s">
        <v>386</v>
      </c>
      <c r="T50" s="283"/>
      <c r="U50" s="283"/>
      <c r="V50" s="283"/>
      <c r="W50" s="283"/>
      <c r="X50" s="284"/>
      <c r="Y50" s="20"/>
    </row>
    <row r="51" spans="1:25" ht="12.75" customHeight="1">
      <c r="A51" s="212"/>
      <c r="B51" s="213"/>
      <c r="C51" s="214"/>
      <c r="D51" s="221"/>
      <c r="E51" s="222"/>
      <c r="F51" s="222"/>
      <c r="G51" s="223"/>
      <c r="H51" s="230"/>
      <c r="I51" s="231"/>
      <c r="J51" s="232"/>
      <c r="K51" s="278"/>
      <c r="L51" s="276"/>
      <c r="M51" s="276"/>
      <c r="N51" s="276"/>
      <c r="O51" s="277"/>
      <c r="P51" s="244"/>
      <c r="Q51" s="245"/>
      <c r="R51" s="82" t="s">
        <v>387</v>
      </c>
      <c r="S51" s="282" t="s">
        <v>388</v>
      </c>
      <c r="T51" s="283"/>
      <c r="U51" s="283"/>
      <c r="V51" s="283"/>
      <c r="W51" s="283"/>
      <c r="X51" s="284"/>
      <c r="Y51" s="20"/>
    </row>
    <row r="52" spans="1:25" ht="12.75" customHeight="1" thickBot="1">
      <c r="A52" s="215"/>
      <c r="B52" s="216"/>
      <c r="C52" s="217"/>
      <c r="D52" s="224"/>
      <c r="E52" s="225"/>
      <c r="F52" s="225"/>
      <c r="G52" s="226"/>
      <c r="H52" s="233"/>
      <c r="I52" s="234"/>
      <c r="J52" s="235"/>
      <c r="K52" s="279"/>
      <c r="L52" s="280"/>
      <c r="M52" s="280"/>
      <c r="N52" s="280"/>
      <c r="O52" s="281"/>
      <c r="P52" s="246"/>
      <c r="Q52" s="247"/>
      <c r="R52" s="83" t="s">
        <v>71</v>
      </c>
      <c r="S52" s="285" t="s">
        <v>88</v>
      </c>
      <c r="T52" s="286"/>
      <c r="U52" s="286"/>
      <c r="V52" s="286"/>
      <c r="W52" s="286"/>
      <c r="X52" s="287"/>
      <c r="Y52" s="20"/>
    </row>
    <row r="53" spans="1:25" ht="21.75">
      <c r="A53" s="108"/>
      <c r="B53" s="109" t="s">
        <v>89</v>
      </c>
      <c r="C53" s="146"/>
      <c r="D53" s="84"/>
      <c r="E53" s="84"/>
      <c r="F53" s="84"/>
      <c r="G53" s="84"/>
      <c r="H53" s="84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84"/>
      <c r="X53" s="85"/>
    </row>
    <row r="54" spans="1:25" ht="13.5" customHeight="1">
      <c r="A54" s="77"/>
      <c r="B54" s="110"/>
      <c r="C54" s="59"/>
      <c r="D54" s="84"/>
      <c r="E54" s="84"/>
      <c r="F54" s="84"/>
      <c r="G54" s="84"/>
      <c r="H54" s="84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84"/>
      <c r="X54" s="85"/>
    </row>
    <row r="55" spans="1:25" ht="13.5" customHeight="1">
      <c r="A55" s="77"/>
      <c r="B55" s="59"/>
      <c r="C55" s="59"/>
      <c r="D55" s="84"/>
      <c r="E55" s="84"/>
      <c r="F55" s="84"/>
      <c r="G55" s="84"/>
      <c r="H55" s="84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84"/>
      <c r="X55" s="85"/>
    </row>
    <row r="56" spans="1:25" ht="13.5" customHeight="1">
      <c r="A56" s="77"/>
      <c r="B56" s="59"/>
      <c r="C56" s="59"/>
      <c r="D56" s="84"/>
      <c r="E56" s="84"/>
      <c r="F56" s="84"/>
      <c r="G56" s="84"/>
      <c r="H56" s="84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84"/>
      <c r="X56" s="85"/>
    </row>
    <row r="57" spans="1:25" ht="13.5" customHeight="1">
      <c r="A57" s="77"/>
      <c r="B57" s="59"/>
      <c r="C57" s="59"/>
      <c r="D57" s="84"/>
      <c r="E57" s="84"/>
      <c r="F57" s="84"/>
      <c r="G57" s="84"/>
      <c r="H57" s="84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84"/>
      <c r="X57" s="85"/>
    </row>
    <row r="58" spans="1:25" ht="13.5" customHeight="1">
      <c r="A58" s="77"/>
      <c r="B58" s="59"/>
      <c r="C58" s="59"/>
      <c r="D58" s="84"/>
      <c r="E58" s="84"/>
      <c r="F58" s="84"/>
      <c r="G58" s="84"/>
      <c r="H58" s="84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84"/>
      <c r="X58" s="85"/>
    </row>
    <row r="59" spans="1:25" ht="13.5" customHeight="1">
      <c r="A59" s="77"/>
      <c r="B59" s="59"/>
      <c r="C59" s="59"/>
      <c r="D59" s="84"/>
      <c r="E59" s="84"/>
      <c r="F59" s="84"/>
      <c r="G59" s="84"/>
      <c r="H59" s="84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84"/>
      <c r="X59" s="85"/>
    </row>
    <row r="60" spans="1:25" ht="13.5" customHeight="1">
      <c r="A60" s="77"/>
      <c r="B60" s="59"/>
      <c r="C60" s="59"/>
      <c r="D60" s="84"/>
      <c r="E60" s="84"/>
      <c r="F60" s="84"/>
      <c r="G60" s="84"/>
      <c r="H60" s="84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84"/>
      <c r="X60" s="85"/>
    </row>
    <row r="61" spans="1:25" ht="13.5" customHeight="1">
      <c r="A61" s="77"/>
      <c r="B61" s="59"/>
      <c r="C61" s="59"/>
      <c r="D61" s="84"/>
      <c r="E61" s="84"/>
      <c r="F61" s="84"/>
      <c r="G61" s="84"/>
      <c r="H61" s="84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4"/>
      <c r="X61" s="85"/>
    </row>
    <row r="62" spans="1:25" ht="13.5" customHeight="1">
      <c r="A62" s="77"/>
      <c r="B62" s="59"/>
      <c r="C62" s="59"/>
      <c r="D62" s="84"/>
      <c r="E62" s="84"/>
      <c r="F62" s="84"/>
      <c r="G62" s="84"/>
      <c r="H62" s="84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84"/>
      <c r="X62" s="85"/>
    </row>
    <row r="63" spans="1:25" ht="13.5" customHeight="1">
      <c r="A63" s="77"/>
      <c r="B63" s="59"/>
      <c r="C63" s="59"/>
      <c r="D63" s="84"/>
      <c r="E63" s="84"/>
      <c r="F63" s="84"/>
      <c r="G63" s="84"/>
      <c r="H63" s="84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84"/>
      <c r="X63" s="85"/>
    </row>
    <row r="64" spans="1:25" ht="13.5" customHeight="1">
      <c r="A64" s="77"/>
      <c r="B64" s="59"/>
      <c r="C64" s="59"/>
      <c r="D64" s="84"/>
      <c r="E64" s="84"/>
      <c r="F64" s="84"/>
      <c r="G64" s="84"/>
      <c r="H64" s="84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84"/>
      <c r="X64" s="85"/>
    </row>
    <row r="65" spans="1:24" ht="13.5" customHeight="1">
      <c r="A65" s="77"/>
      <c r="B65" s="59"/>
      <c r="C65" s="59"/>
      <c r="D65" s="84"/>
      <c r="E65" s="84"/>
      <c r="F65" s="84"/>
      <c r="G65" s="84"/>
      <c r="H65" s="84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84"/>
      <c r="X65" s="85"/>
    </row>
    <row r="66" spans="1:24" ht="13.5" customHeight="1">
      <c r="A66" s="77"/>
      <c r="B66" s="59"/>
      <c r="C66" s="59"/>
      <c r="D66" s="84"/>
      <c r="E66" s="84"/>
      <c r="F66" s="84"/>
      <c r="G66" s="84"/>
      <c r="H66" s="84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84"/>
      <c r="X66" s="85"/>
    </row>
    <row r="67" spans="1:24" ht="13.5" customHeight="1">
      <c r="A67" s="77"/>
      <c r="B67" s="59"/>
      <c r="C67" s="59"/>
      <c r="D67" s="84"/>
      <c r="E67" s="84"/>
      <c r="F67" s="84"/>
      <c r="G67" s="84"/>
      <c r="H67" s="84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84"/>
      <c r="X67" s="85"/>
    </row>
    <row r="68" spans="1:24" ht="13.5" customHeight="1">
      <c r="A68" s="77"/>
      <c r="B68" s="59"/>
      <c r="C68" s="59"/>
      <c r="D68" s="84"/>
      <c r="E68" s="84"/>
      <c r="F68" s="84"/>
      <c r="G68" s="84"/>
      <c r="H68" s="84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84"/>
      <c r="X68" s="85"/>
    </row>
    <row r="69" spans="1:24" ht="13.5" customHeight="1">
      <c r="A69" s="77"/>
      <c r="B69" s="59"/>
      <c r="C69" s="59"/>
      <c r="D69" s="84"/>
      <c r="E69" s="84"/>
      <c r="F69" s="84"/>
      <c r="G69" s="84"/>
      <c r="H69" s="84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84"/>
      <c r="X69" s="85"/>
    </row>
    <row r="70" spans="1:24" ht="13.5" customHeight="1">
      <c r="A70" s="77"/>
      <c r="B70" s="59"/>
      <c r="C70" s="59"/>
      <c r="D70" s="84"/>
      <c r="E70" s="84"/>
      <c r="F70" s="84"/>
      <c r="G70" s="84"/>
      <c r="H70" s="84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84"/>
      <c r="X70" s="85"/>
    </row>
    <row r="71" spans="1:24" ht="13.5" customHeight="1">
      <c r="A71" s="77"/>
      <c r="B71" s="59"/>
      <c r="C71" s="59"/>
      <c r="D71" s="84"/>
      <c r="E71" s="84"/>
      <c r="F71" s="84"/>
      <c r="G71" s="84"/>
      <c r="H71" s="84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84"/>
      <c r="X71" s="85"/>
    </row>
    <row r="72" spans="1:24" ht="13.5" customHeight="1">
      <c r="A72" s="77"/>
      <c r="B72" s="59"/>
      <c r="C72" s="59"/>
      <c r="D72" s="84"/>
      <c r="E72" s="84"/>
      <c r="F72" s="84"/>
      <c r="G72" s="84"/>
      <c r="H72" s="84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84"/>
      <c r="X72" s="85"/>
    </row>
    <row r="73" spans="1:24" ht="7.5" customHeight="1" thickBot="1">
      <c r="A73" s="80"/>
      <c r="B73" s="81"/>
      <c r="C73" s="81"/>
      <c r="D73" s="86"/>
      <c r="E73" s="86"/>
      <c r="F73" s="86"/>
      <c r="G73" s="86"/>
      <c r="H73" s="86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6"/>
      <c r="X73" s="87"/>
    </row>
    <row r="74" spans="1:24" ht="21" customHeight="1">
      <c r="X74" s="88" t="s">
        <v>90</v>
      </c>
    </row>
  </sheetData>
  <mergeCells count="75">
    <mergeCell ref="S48:X48"/>
    <mergeCell ref="S49:X49"/>
    <mergeCell ref="S50:X50"/>
    <mergeCell ref="S51:X51"/>
    <mergeCell ref="S52:X52"/>
    <mergeCell ref="P36:R36"/>
    <mergeCell ref="S36:V36"/>
    <mergeCell ref="A45:C52"/>
    <mergeCell ref="D45:G52"/>
    <mergeCell ref="H45:J52"/>
    <mergeCell ref="K45:O47"/>
    <mergeCell ref="P45:Q52"/>
    <mergeCell ref="P37:R39"/>
    <mergeCell ref="S37:V37"/>
    <mergeCell ref="S38:V38"/>
    <mergeCell ref="S39:V39"/>
    <mergeCell ref="P41:R42"/>
    <mergeCell ref="S45:X45"/>
    <mergeCell ref="S46:X46"/>
    <mergeCell ref="S47:X47"/>
    <mergeCell ref="K48:O52"/>
    <mergeCell ref="C32:H32"/>
    <mergeCell ref="S32:T32"/>
    <mergeCell ref="P34:R34"/>
    <mergeCell ref="S34:V34"/>
    <mergeCell ref="P35:R35"/>
    <mergeCell ref="S35:V35"/>
    <mergeCell ref="S28:T28"/>
    <mergeCell ref="C30:H30"/>
    <mergeCell ref="S30:T30"/>
    <mergeCell ref="C31:H31"/>
    <mergeCell ref="S31:T31"/>
    <mergeCell ref="C29:H29"/>
    <mergeCell ref="S29:T29"/>
    <mergeCell ref="A22:B32"/>
    <mergeCell ref="C22:H22"/>
    <mergeCell ref="S22:T22"/>
    <mergeCell ref="C23:H23"/>
    <mergeCell ref="S23:T23"/>
    <mergeCell ref="C24:H24"/>
    <mergeCell ref="S24:T24"/>
    <mergeCell ref="C25:H25"/>
    <mergeCell ref="S25:T25"/>
    <mergeCell ref="C26:H26"/>
    <mergeCell ref="S26:T26"/>
    <mergeCell ref="C27:H27"/>
    <mergeCell ref="S27:T27"/>
    <mergeCell ref="C28:H28"/>
    <mergeCell ref="A17:B21"/>
    <mergeCell ref="S17:T17"/>
    <mergeCell ref="S18:T18"/>
    <mergeCell ref="S19:T19"/>
    <mergeCell ref="S20:T20"/>
    <mergeCell ref="S21:T21"/>
    <mergeCell ref="A9:B16"/>
    <mergeCell ref="S9:T9"/>
    <mergeCell ref="S10:T10"/>
    <mergeCell ref="S11:T11"/>
    <mergeCell ref="S12:T12"/>
    <mergeCell ref="S13:T13"/>
    <mergeCell ref="S14:T14"/>
    <mergeCell ref="S15:T15"/>
    <mergeCell ref="S16:T16"/>
    <mergeCell ref="Q5:U5"/>
    <mergeCell ref="A6:C6"/>
    <mergeCell ref="Q6:U6"/>
    <mergeCell ref="W6:X6"/>
    <mergeCell ref="A8:C8"/>
    <mergeCell ref="S8:T8"/>
    <mergeCell ref="A2:C2"/>
    <mergeCell ref="A3:C3"/>
    <mergeCell ref="A4:C4"/>
    <mergeCell ref="D4:H4"/>
    <mergeCell ref="A5:C5"/>
    <mergeCell ref="D5:G5"/>
  </mergeCells>
  <conditionalFormatting sqref="N21:R21">
    <cfRule type="cellIs" dxfId="11" priority="12" stopIfTrue="1" operator="notBetween">
      <formula>$G$17</formula>
      <formula>$H$17</formula>
    </cfRule>
  </conditionalFormatting>
  <conditionalFormatting sqref="V42 J20:R21 N9:R18 J9:M19 I9:I21">
    <cfRule type="cellIs" dxfId="10" priority="11" stopIfTrue="1" operator="notEqual">
      <formula>FALSE</formula>
    </cfRule>
  </conditionalFormatting>
  <conditionalFormatting sqref="D45:G52">
    <cfRule type="cellIs" dxfId="9" priority="9" stopIfTrue="1" operator="equal">
      <formula>"G"</formula>
    </cfRule>
    <cfRule type="cellIs" dxfId="8" priority="10" stopIfTrue="1" operator="equal">
      <formula>"NG"</formula>
    </cfRule>
  </conditionalFormatting>
  <conditionalFormatting sqref="I22:S32">
    <cfRule type="cellIs" dxfId="7" priority="8" stopIfTrue="1" operator="notEqual">
      <formula>FALSE</formula>
    </cfRule>
  </conditionalFormatting>
  <conditionalFormatting sqref="W9:W32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W35:W39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I19:M19 I21:R21">
    <cfRule type="cellIs" dxfId="2" priority="3" stopIfTrue="1" operator="notBetween">
      <formula>#REF!</formula>
      <formula>#REF!</formula>
    </cfRule>
  </conditionalFormatting>
  <conditionalFormatting sqref="C9:X16">
    <cfRule type="cellIs" dxfId="1" priority="2" operator="equal">
      <formula>""</formula>
    </cfRule>
  </conditionalFormatting>
  <conditionalFormatting sqref="C17:X21">
    <cfRule type="cellIs" dxfId="0" priority="1" operator="equal">
      <formula>""</formula>
    </cfRule>
  </conditionalFormatting>
  <pageMargins left="0.43307086614173229" right="0.11811023622047245" top="0.28999999999999998" bottom="0.18" header="0.15748031496062992" footer="0.11811023622047245"/>
  <pageSetup paperSize="9" scale="68" orientation="portrait" r:id="rId1"/>
  <headerFooter alignWithMargins="0">
    <oddFooter>&amp;LY3</oddFooter>
  </headerFooter>
  <rowBreaks count="1" manualBreakCount="1">
    <brk id="75" min="1" max="23" man="1"/>
  </row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412</v>
      </c>
    </row>
    <row r="5" spans="1:1">
      <c r="A5" t="s">
        <v>513</v>
      </c>
    </row>
    <row r="6" spans="1:1">
      <c r="A6" t="s">
        <v>514</v>
      </c>
    </row>
    <row r="7" spans="1:1">
      <c r="A7" t="s">
        <v>515</v>
      </c>
    </row>
    <row r="8" spans="1:1">
      <c r="A8" t="s">
        <v>516</v>
      </c>
    </row>
    <row r="9" spans="1:1">
      <c r="A9" t="s">
        <v>516</v>
      </c>
    </row>
    <row r="10" spans="1:1">
      <c r="A10" t="s">
        <v>517</v>
      </c>
    </row>
    <row r="11" spans="1:1">
      <c r="A11" t="s">
        <v>518</v>
      </c>
    </row>
    <row r="12" spans="1:1">
      <c r="A12" t="s">
        <v>519</v>
      </c>
    </row>
    <row r="13" spans="1:1">
      <c r="A13" t="s">
        <v>520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9B37-75A6-4D61-9295-B9986182D3F3}">
  <sheetPr codeName="Sheet4"/>
  <dimension ref="A1"/>
  <sheetViews>
    <sheetView workbookViewId="0">
      <selection activeCell="G11" sqref="G11"/>
    </sheetView>
  </sheetViews>
  <sheetFormatPr defaultRowHeight="13.5"/>
  <sheetData>
    <row r="1" spans="1:1">
      <c r="A1" t="s">
        <v>521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2022-09-27T11:16:58Z</cp:lastPrinted>
  <dcterms:created xsi:type="dcterms:W3CDTF">2012-11-05T06:18:27Z</dcterms:created>
  <dcterms:modified xsi:type="dcterms:W3CDTF">2023-03-13T07:02:14Z</dcterms:modified>
</cp:coreProperties>
</file>