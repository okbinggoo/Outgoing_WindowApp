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WTRform\"/>
    </mc:Choice>
  </mc:AlternateContent>
  <xr:revisionPtr revIDLastSave="0" documentId="13_ncr:1_{E204BFE8-EF0F-4C22-ADE0-48CCCFE0826C}" xr6:coauthVersionLast="47" xr6:coauthVersionMax="47" xr10:uidLastSave="{00000000-0000-0000-0000-000000000000}"/>
  <bookViews>
    <workbookView xWindow="-110" yWindow="-110" windowWidth="19420" windowHeight="10420" tabRatio="791" activeTab="1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<sst xmlns="http://schemas.openxmlformats.org/spreadsheetml/2006/main" count="1635" uniqueCount="655">
  <si>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</si>
  <si>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</si>
  <si>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</si>
  <si>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</si>
  <si>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</si>
  <si>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</si>
  <si>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</si>
  <si>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</si>
  <si>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</si>
  <si>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</si>
  <si>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</si>
  <si>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</si>
  <si>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</si>
  <si>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</si>
  <si>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</si>
  <si>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</si>
  <si>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</si>
  <si>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</si>
  <si>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</si>
  <si>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</si>
  <si>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</si>
  <si>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</si>
  <si>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</si>
  <si>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</si>
  <si>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</si>
  <si>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</si>
  <si>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</si>
  <si>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</si>
  <si>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</si>
  <si>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</si>
  <si>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</si>
  <si>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</si>
  <si>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</si>
  <si>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</si>
  <si>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</si>
  <si>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</si>
  <si>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</si>
  <si>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</si>
  <si>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</si>
  <si>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</si>
  <si>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</si>
  <si>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</si>
  <si>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</si>
  <si>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</si>
  <si>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</si>
  <si>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</si>
  <si>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</si>
  <si>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</si>
  <si>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</si>
  <si>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</si>
  <si>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</si>
  <si>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</si>
  <si>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</si>
  <si>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</si>
  <si>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</si>
  <si>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</si>
  <si>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</si>
  <si>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</si>
  <si>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</si>
  <si>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</si>
  <si>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</si>
  <si>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</si>
  <si>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</si>
  <si>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</si>
  <si>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</si>
  <si>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</si>
  <si>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</si>
  <si>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</si>
  <si>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</si>
  <si>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</si>
  <si>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</si>
  <si>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</si>
  <si>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</si>
  <si>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</si>
  <si>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</si>
  <si>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</si>
  <si>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</si>
  <si>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</si>
  <si>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</si>
  <si>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</si>
  <si>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</si>
  <si>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</si>
  <si>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</si>
  <si>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</si>
  <si>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</si>
  <si>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</si>
  <si>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</si>
  <si>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</si>
  <si>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</si>
  <si>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</si>
  <si>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</si>
  <si>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</si>
  <si>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</si>
  <si>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</si>
  <si>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</si>
  <si>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</si>
  <si>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</si>
  <si>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</si>
  <si>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</si>
  <si>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</si>
  <si>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</si>
  <si>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</si>
  <si>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</si>
  <si>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</si>
  <si>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</si>
  <si>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</si>
  <si>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</si>
  <si>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</si>
  <si>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</si>
  <si>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</si>
  <si>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</si>
  <si>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</si>
  <si>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</si>
  <si>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</si>
  <si>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</si>
  <si>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</si>
  <si>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</si>
  <si>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</si>
  <si>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</si>
  <si>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</si>
  <si>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</si>
  <si>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</si>
  <si>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</si>
  <si>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</si>
  <si>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</si>
  <si>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</si>
  <si>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</si>
  <si>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</si>
  <si>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</si>
  <si>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</si>
  <si>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</si>
  <si>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</si>
  <si>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</si>
  <si>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</si>
  <si>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</si>
  <si>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</si>
  <si>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</si>
  <si>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</si>
  <si>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</si>
  <si>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</si>
  <si>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</si>
  <si>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</si>
  <si>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</si>
  <si>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</si>
  <si>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</si>
  <si>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</si>
  <si>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</si>
  <si>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</si>
  <si>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</si>
  <si>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</si>
  <si>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</si>
  <si>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</si>
  <si>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</si>
  <si>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</si>
  <si>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</si>
  <si>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</si>
  <si>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</si>
  <si>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</si>
  <si>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</si>
  <si>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</si>
  <si>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</si>
  <si>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</si>
  <si>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</si>
  <si>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</si>
  <si>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</si>
  <si>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</si>
  <si>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</si>
  <si>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</si>
  <si>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</si>
  <si>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</si>
  <si>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</si>
  <si>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</si>
  <si>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</si>
  <si>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</si>
  <si>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</si>
  <si>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</si>
  <si>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</si>
  <si>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</si>
  <si>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</si>
  <si>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</si>
  <si>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</si>
  <si>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</si>
  <si>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</si>
  <si>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</si>
  <si>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</si>
  <si>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</si>
  <si>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</si>
  <si>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</si>
  <si>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</si>
  <si>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</si>
  <si>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</si>
  <si>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</si>
  <si>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</si>
  <si>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</si>
  <si>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</si>
  <si>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</si>
  <si>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</si>
  <si>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</si>
  <si>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</si>
  <si>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</si>
  <si>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</si>
  <si>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</si>
  <si>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</si>
  <si>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</si>
  <si>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</si>
  <si>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</si>
  <si>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</si>
  <si>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</si>
  <si>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</si>
  <si>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</si>
  <si>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</si>
  <si>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</si>
  <si>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</si>
  <si>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</si>
  <si>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</si>
  <si>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</si>
  <si>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</si>
  <si>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</si>
  <si>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</si>
  <si>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</si>
  <si>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</si>
  <si>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</si>
  <si>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</si>
  <si>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</si>
  <si>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</si>
  <si>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</si>
  <si>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</si>
  <si>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</si>
  <si>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</si>
  <si>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</si>
  <si>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</si>
  <si>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</si>
  <si>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</si>
  <si>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</si>
  <si>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</si>
  <si>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</si>
  <si>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</si>
  <si>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</si>
  <si>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</si>
  <si>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</si>
  <si>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</si>
  <si>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</si>
  <si>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</si>
  <si>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</si>
  <si>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</si>
  <si>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</si>
  <si>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</si>
  <si>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</si>
  <si>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</si>
  <si>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</si>
  <si>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</si>
  <si>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</si>
  <si>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</si>
  <si>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</si>
  <si>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</si>
  <si>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</si>
  <si>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</si>
  <si>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</si>
  <si>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</si>
  <si>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</si>
  <si>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</si>
  <si>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</si>
  <si>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</si>
  <si>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</si>
  <si>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</si>
  <si>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</si>
  <si>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</si>
  <si>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</si>
  <si>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</si>
  <si>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</si>
  <si>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</si>
  <si>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</si>
  <si>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</si>
  <si>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</si>
  <si>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</si>
  <si>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</si>
  <si>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</si>
  <si>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</si>
  <si>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</si>
  <si>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</si>
  <si>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</si>
  <si>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</si>
  <si>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</si>
  <si>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</si>
  <si>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</si>
  <si>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</si>
  <si>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</si>
  <si>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</si>
  <si>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</si>
  <si>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</si>
  <si>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</si>
  <si>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</si>
  <si>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</si>
  <si>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</si>
  <si>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</si>
  <si>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</si>
  <si>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</si>
  <si>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</si>
  <si>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</si>
  <si>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</si>
  <si>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</si>
  <si>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</si>
  <si>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</si>
  <si>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</si>
  <si>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</si>
  <si>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</si>
  <si>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</si>
  <si>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</si>
  <si>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</si>
  <si>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</si>
  <si>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</si>
  <si>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</si>
  <si>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</si>
  <si>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</si>
  <si>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</si>
  <si>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</si>
  <si>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</si>
  <si>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</si>
  <si>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</si>
  <si>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</si>
  <si>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</si>
  <si>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</si>
  <si>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</si>
  <si>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</si>
  <si>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</si>
  <si>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</si>
  <si>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</si>
  <si>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</si>
  <si>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</si>
  <si>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</si>
  <si>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</si>
  <si>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</si>
  <si>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</si>
  <si>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</si>
  <si>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</si>
  <si>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</si>
  <si>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</si>
  <si>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</si>
  <si>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</si>
  <si>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</si>
  <si>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</si>
  <si>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</si>
  <si>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</si>
  <si>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</si>
  <si>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</si>
  <si>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</si>
  <si>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</si>
  <si>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</si>
  <si>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</si>
  <si>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</si>
  <si>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</si>
  <si>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</si>
  <si>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</si>
  <si>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</si>
  <si>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</si>
  <si>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</si>
  <si>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</si>
  <si>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</si>
  <si>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</si>
  <si>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</si>
  <si>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</si>
  <si>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</si>
  <si>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</si>
  <si>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</si>
  <si>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</si>
  <si>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</si>
  <si>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</si>
  <si>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</si>
  <si>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</si>
  <si>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</si>
  <si>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</si>
  <si>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</si>
  <si>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</si>
  <si>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</si>
  <si>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</si>
  <si>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</si>
  <si>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</si>
  <si>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</si>
  <si>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</si>
  <si>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</si>
  <si>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</si>
  <si>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</si>
  <si>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</si>
  <si>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</si>
  <si>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</si>
  <si>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</si>
  <si>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</si>
  <si>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</si>
  <si>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</si>
  <si>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</si>
  <si>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</si>
  <si>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</si>
  <si>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</si>
  <si>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</si>
  <si>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</si>
  <si>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</si>
  <si>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</si>
  <si>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</si>
  <si>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</si>
  <si>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</si>
  <si>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</si>
  <si>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</si>
  <si>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</si>
  <si>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</si>
  <si>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</si>
  <si>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</si>
  <si>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</si>
  <si>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</si>
  <si>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</si>
  <si>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</si>
  <si>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</si>
  <si>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</si>
  <si>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</si>
  <si>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</si>
  <si>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</si>
  <si>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</si>
  <si>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</si>
  <si>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</si>
  <si>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</si>
  <si>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</si>
  <si>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</si>
  <si>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</si>
  <si>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</si>
  <si>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</si>
  <si>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</si>
  <si>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</si>
  <si>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</si>
  <si>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</si>
  <si>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</si>
  <si>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</si>
  <si>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</si>
  <si>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</si>
  <si>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</si>
  <si>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</si>
  <si>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</si>
  <si>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</si>
  <si>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</si>
  <si>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</si>
  <si>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</si>
  <si>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</si>
  <si>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</si>
  <si>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</si>
  <si>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</si>
  <si>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</si>
  <si>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</si>
  <si>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</si>
  <si>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</si>
  <si>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</si>
  <si>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</si>
  <si>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</si>
  <si>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</si>
  <si>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</si>
  <si>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</si>
  <si>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</si>
  <si>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</si>
  <si>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</si>
  <si>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</si>
  <si>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</si>
  <si>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</si>
  <si>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</si>
  <si>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</si>
  <si>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</si>
  <si>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</si>
  <si>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</si>
  <si>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</si>
  <si>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</si>
  <si>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</si>
  <si>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</si>
  <si>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</si>
  <si>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</si>
  <si>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</si>
  <si>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</si>
  <si>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</si>
  <si>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</si>
  <si>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</si>
  <si>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</si>
  <si>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</si>
  <si>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</si>
  <si>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</si>
  <si>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</si>
  <si>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</si>
  <si>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</si>
  <si>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</si>
  <si>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</si>
  <si>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</si>
  <si>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</si>
  <si>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</si>
  <si>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</si>
  <si>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</si>
  <si>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</si>
  <si>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</si>
  <si>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</si>
  <si>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</si>
  <si>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</si>
  <si>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</si>
  <si>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</si>
  <si>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</si>
  <si>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</si>
  <si>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</si>
  <si>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</si>
  <si>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</si>
  <si>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</si>
  <si>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</si>
  <si>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</si>
  <si>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</si>
  <si>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</si>
  <si>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</si>
  <si>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</si>
  <si>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</si>
  <si>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</si>
  <si>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</si>
  <si>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</si>
  <si>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</si>
  <si>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</si>
  <si>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</si>
  <si>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</si>
  <si>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</si>
  <si>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</si>
  <si>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</si>
  <si>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</si>
  <si>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</si>
  <si>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</si>
  <si>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</si>
  <si>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</si>
  <si>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</si>
  <si>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</si>
  <si>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</si>
  <si>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</si>
  <si>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</si>
  <si>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</si>
  <si>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</si>
  <si>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</si>
  <si>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</si>
  <si>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</si>
  <si>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</si>
  <si>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</si>
  <si>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</si>
  <si>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</si>
  <si>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</si>
  <si>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</si>
  <si>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</si>
  <si>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</si>
  <si>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</si>
  <si>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</si>
  <si>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</si>
  <si>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</si>
  <si>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</si>
  <si>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</si>
  <si>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</si>
  <si>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</si>
  <si>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</si>
  <si>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</si>
  <si>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</si>
  <si>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</si>
  <si>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</si>
  <si>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</si>
  <si>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</si>
  <si>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</si>
  <si>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</si>
  <si>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</si>
  <si>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</si>
  <si>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</si>
  <si>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</si>
  <si>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</si>
  <si>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</si>
  <si>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</si>
  <si>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</si>
  <si>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</si>
  <si>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</si>
  <si>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</si>
  <si>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</si>
  <si>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</si>
  <si>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</si>
  <si>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</si>
  <si>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</si>
  <si>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</si>
  <si>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</si>
  <si>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</si>
  <si>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</si>
  <si>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</si>
  <si>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</si>
  <si>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</si>
  <si>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</si>
  <si>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</si>
  <si>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</si>
  <si>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</si>
  <si>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</si>
  <si>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</si>
  <si>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</si>
  <si>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</si>
  <si>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</si>
  <si>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</si>
  <si>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DG</t>
  </si>
  <si>
    <t>Digimatic Indicator</t>
  </si>
  <si>
    <t>Jig</t>
  </si>
  <si>
    <t>MS</t>
  </si>
  <si>
    <t>MC</t>
  </si>
  <si>
    <t>Micrometer</t>
  </si>
  <si>
    <t>VS</t>
  </si>
  <si>
    <t>Visual</t>
  </si>
  <si>
    <t>FR</t>
  </si>
  <si>
    <t>SR</t>
  </si>
  <si>
    <t>Scale Ruler</t>
  </si>
  <si>
    <t>VC</t>
  </si>
  <si>
    <t>Jig1</t>
  </si>
  <si>
    <t>Shocket</t>
  </si>
  <si>
    <t>Jig2</t>
  </si>
  <si>
    <t>Internal pin</t>
  </si>
  <si>
    <t>Jig3</t>
  </si>
  <si>
    <t>Retainer</t>
  </si>
  <si>
    <t>Microscope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</si>
  <si>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</si>
  <si>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</si>
  <si>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</si>
  <si>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</si>
  <si>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Frequency Machine</t>
  </si>
  <si>
    <t>Vernier Caliper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</si>
  <si>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</si>
  <si>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</si>
  <si>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</si>
  <si>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</si>
  <si>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</si>
  <si>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</si>
  <si>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</si>
  <si>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#177#</t>
  </si>
  <si>
    <t>D:\TEST_OG\</t>
  </si>
  <si>
    <t>LCLW009LG_B21202684S824163TS2907051;MMC/TM22;1;20220908;TM22R0015;PKGX0006-02;S824163;XX1;PKGX0006-02;XX2</t>
  </si>
  <si>
    <t>;2223946500;001;K0760;PKGX0006-02;3240;229MA0503;PKGX0006-02;TS2907051;540;80;9/7/2022;23.20;59;30664SIRIRAT;I.Ploypairin;540 Pcs.;229MA0503_MarkCD.jpg;;PKGX0006-02;MAGNA;;;;||A;0;;;;;NEGX080351;;Jig1;B;0;;;;;NEGX080351;;Jig2;C;0;;;;;NEGX080351;;Jig3;||0;0;0;0;0;0;0;0;;;Dimension;A;MAGNA;;;0;0;0;0;0;0;0;0;;;Dimension;B;MAGNA;;;0;0;0;0;0;0;0;0;;;Dimension;C;MAGNA;;;|G;G;G;G;G;G;G;G;G;G;1. Scratch;;;;;G;G;G;G;G;G;G;G;G;G;2. Dirty, Foreign substance attachment;;;;;G;G;G;G;G;G;G;G;G;G;3. Discoloration;;;;;G;G;G;G;G;G;G;G;G;G;4. Molding defect (Creack, Missing);;;;;G;G;G;G;G;G;G;G;G;G;5. Burr;;;;;G;G;G;G;G;G;G;G;G;G;6. StructureA;;;;;G;G;G;G;G;G;G;G;G;G;7. StructureB;;;;;G;G;G;G;G;G;G;G;G;G;8. StructureC;;;;;|8;8;8;|</t>
  </si>
  <si>
    <t>2223946500</t>
  </si>
  <si>
    <t>001</t>
  </si>
  <si>
    <t>K0760</t>
  </si>
  <si>
    <t>PKGX0006-02</t>
  </si>
  <si>
    <t>229MA0503</t>
  </si>
  <si>
    <t>TS2907051</t>
  </si>
  <si>
    <t>7-Sep-2022</t>
  </si>
  <si>
    <t>30664SIRIRAT</t>
  </si>
  <si>
    <t>I.Ploypairin</t>
  </si>
  <si>
    <t>540 Pcs.</t>
  </si>
  <si>
    <t>229MA0503_MarkCD.jpg</t>
  </si>
  <si>
    <t>MAGNA</t>
  </si>
  <si>
    <t>A</t>
  </si>
  <si>
    <t>-</t>
  </si>
  <si>
    <t>NEGX080351</t>
  </si>
  <si>
    <t>B</t>
  </si>
  <si>
    <t>C</t>
  </si>
  <si>
    <t>Dimension</t>
  </si>
  <si>
    <t>1. Scratch</t>
  </si>
  <si>
    <t>2. Dirty, Foreign substance attachment</t>
  </si>
  <si>
    <t>3. Discoloration</t>
  </si>
  <si>
    <t>4. Molding defect (Creack, Missing)</t>
  </si>
  <si>
    <t>5. Burr</t>
  </si>
  <si>
    <t>6. StructureA</t>
  </si>
  <si>
    <t>7. StructureB</t>
  </si>
  <si>
    <t>8. StructureC</t>
  </si>
  <si>
    <t>MMC/TM22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</si>
</sst>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41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6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56" fillId="0" borderId="18" xfId="110" applyFont="1" applyBorder="1" applyAlignment="1" applyProtection="1">
      <alignment horizontal="left" vertical="center" shrinkToFit="1"/>
      <protection locked="0" hidden="1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145" applyFont="1" applyBorder="1" applyAlignment="1">
      <alignment vertical="center"/>
    </xf>
    <xf numFmtId="0" fontId="8" fillId="0" borderId="4" xfId="145" applyFont="1" applyBorder="1" applyAlignment="1">
      <alignment horizontal="center" vertical="center"/>
    </xf>
    <xf numFmtId="0" fontId="8" fillId="0" borderId="10" xfId="145" applyFont="1" applyBorder="1" applyAlignment="1">
      <alignment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6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15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7" fillId="0" borderId="18" xfId="110" applyFont="1" applyBorder="1" applyAlignment="1">
      <alignment horizontal="center" vertical="center"/>
    </xf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8" fillId="0" borderId="3" xfId="11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8" fillId="0" borderId="5" xfId="145" applyFont="1" applyBorder="1" applyAlignment="1">
      <alignment vertical="top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8" fillId="0" borderId="3" xfId="145" applyFont="1" applyBorder="1" applyAlignment="1">
      <alignment horizontal="left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7" fillId="0" borderId="3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4" xfId="110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360CD-2194-4EF9-9053-8DF53B488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workbookViewId="0">
      <selection activeCell="E884" sqref="E884"/>
    </sheetView>
  </sheetViews>
  <sheetFormatPr defaultRowHeight="13"/>
  <cols>
    <col min="1" max="1" width="9" style="3"/>
    <col min="2" max="2" width="19.26953125" customWidth="1"/>
    <col min="3" max="3" width="21.26953125" style="3" bestFit="1" customWidth="1"/>
    <col min="4" max="4" width="23.08984375" customWidth="1"/>
  </cols>
  <sheetData>
    <row r="1" spans="1:4" s="1" customFormat="1">
      <c r="A1" s="2">
        <v>1</v>
      </c>
      <c r="B1" s="27" t="s">
        <v>628</v>
      </c>
      <c r="C1" s="2" t="s">
        <v>78</v>
      </c>
      <c r="D1" s="1" t="s">
        <v>25</v>
      </c>
    </row>
    <row r="2" spans="1:4" s="1" customFormat="1">
      <c r="A2" s="2">
        <v>2</v>
      </c>
      <c r="B2" s="27" t="s">
        <v>629</v>
      </c>
      <c r="C2" s="2" t="s">
        <v>1</v>
      </c>
    </row>
    <row r="3" spans="1:4" s="1" customFormat="1">
      <c r="A3" s="2">
        <v>3</v>
      </c>
      <c r="B3" s="1" t="s">
        <v>630</v>
      </c>
      <c r="C3" s="2" t="s">
        <v>278</v>
      </c>
    </row>
    <row r="4" spans="1:4" s="1" customFormat="1">
      <c r="A4" s="2">
        <v>4</v>
      </c>
      <c r="B4" s="1" t="s">
        <v>631</v>
      </c>
      <c r="C4" s="2" t="s">
        <v>279</v>
      </c>
    </row>
    <row r="5" spans="1:4" s="1" customFormat="1">
      <c r="A5" s="2">
        <v>5</v>
      </c>
      <c r="B5" s="1">
        <v>3240</v>
      </c>
      <c r="C5" s="2" t="s">
        <v>280</v>
      </c>
    </row>
    <row r="6" spans="1:4" s="1" customFormat="1">
      <c r="A6" s="2">
        <v>6</v>
      </c>
      <c r="B6" s="1" t="s">
        <v>632</v>
      </c>
      <c r="C6" s="2" t="s">
        <v>281</v>
      </c>
    </row>
    <row r="7" spans="1:4" s="1" customFormat="1">
      <c r="A7" s="2">
        <v>7</v>
      </c>
      <c r="B7" s="1" t="s">
        <v>631</v>
      </c>
      <c r="C7" s="2" t="s">
        <v>3</v>
      </c>
    </row>
    <row r="8" spans="1:4" s="1" customFormat="1">
      <c r="A8" s="2">
        <v>8</v>
      </c>
      <c r="B8" s="1" t="s">
        <v>633</v>
      </c>
      <c r="C8" s="2" t="s">
        <v>4</v>
      </c>
    </row>
    <row r="9" spans="1:4" s="1" customFormat="1">
      <c r="A9" s="2">
        <v>9</v>
      </c>
      <c r="B9" s="1">
        <v>540</v>
      </c>
      <c r="C9" s="2" t="s">
        <v>5</v>
      </c>
    </row>
    <row r="10" spans="1:4" s="1" customFormat="1">
      <c r="A10" s="2">
        <v>10</v>
      </c>
      <c r="B10" s="4">
        <v>80</v>
      </c>
      <c r="C10" s="2" t="s">
        <v>282</v>
      </c>
    </row>
    <row r="11" spans="1:4" s="1" customFormat="1">
      <c r="A11" s="2">
        <v>11</v>
      </c>
      <c r="B11" s="145" t="s">
        <v>634</v>
      </c>
      <c r="C11" s="2" t="s">
        <v>6</v>
      </c>
    </row>
    <row r="12" spans="1:4" s="1" customFormat="1">
      <c r="A12" s="2">
        <v>12</v>
      </c>
      <c r="B12" s="1">
        <v>23.2</v>
      </c>
      <c r="C12" s="2" t="s">
        <v>7</v>
      </c>
    </row>
    <row r="13" spans="1:4" s="1" customFormat="1">
      <c r="A13" s="2">
        <v>13</v>
      </c>
      <c r="B13" s="1">
        <v>59</v>
      </c>
      <c r="C13" s="2" t="s">
        <v>283</v>
      </c>
    </row>
    <row r="14" spans="1:4" s="1" customFormat="1">
      <c r="A14" s="2">
        <v>14</v>
      </c>
      <c r="B14" s="1" t="s">
        <v>635</v>
      </c>
      <c r="C14" s="2" t="s">
        <v>0</v>
      </c>
    </row>
    <row r="15" spans="1:4" s="1" customFormat="1">
      <c r="A15" s="2">
        <v>15</v>
      </c>
      <c r="B15" s="1" t="s">
        <v>636</v>
      </c>
      <c r="C15" s="2" t="s">
        <v>284</v>
      </c>
    </row>
    <row r="16" spans="1:4" s="1" customFormat="1">
      <c r="A16" s="2">
        <v>16</v>
      </c>
      <c r="B16" s="1" t="s">
        <v>637</v>
      </c>
      <c r="C16" s="2" t="s">
        <v>285</v>
      </c>
    </row>
    <row r="17" spans="1:4" s="1" customFormat="1">
      <c r="A17" s="2">
        <v>17</v>
      </c>
      <c r="B17" s="1" t="s">
        <v>638</v>
      </c>
      <c r="C17" s="2" t="s">
        <v>286</v>
      </c>
    </row>
    <row r="18" spans="1:4" s="1" customFormat="1">
      <c r="A18" s="2">
        <v>18</v>
      </c>
      <c r="B18" s="1" t="s">
        <v>654</v>
      </c>
      <c r="C18" s="2" t="s">
        <v>287</v>
      </c>
    </row>
    <row r="19" spans="1:4" s="1" customFormat="1">
      <c r="A19" s="2">
        <v>19</v>
      </c>
      <c r="B19" s="1" t="s">
        <v>631</v>
      </c>
      <c r="C19" s="2" t="s">
        <v>304</v>
      </c>
    </row>
    <row r="20" spans="1:4" s="1" customFormat="1" ht="13.5" thickBot="1">
      <c r="A20" s="2">
        <v>20</v>
      </c>
      <c r="B20" s="1" t="s">
        <v>639</v>
      </c>
      <c r="C20" s="2" t="s">
        <v>27</v>
      </c>
    </row>
    <row r="21" spans="1:4" s="6" customFormat="1">
      <c r="A21" s="3">
        <v>21</v>
      </c>
      <c r="B21" s="8"/>
      <c r="C21" s="8" t="s">
        <v>83</v>
      </c>
      <c r="D21" s="6" t="s">
        <v>82</v>
      </c>
    </row>
    <row r="22" spans="1:4" s="6" customFormat="1">
      <c r="A22" s="3">
        <v>22</v>
      </c>
      <c r="B22" s="5"/>
      <c r="C22" s="5" t="s">
        <v>84</v>
      </c>
      <c r="D22" s="6">
        <v>1</v>
      </c>
    </row>
    <row r="23" spans="1:4" s="6" customFormat="1">
      <c r="A23" s="3">
        <v>23</v>
      </c>
      <c r="B23" s="5"/>
      <c r="C23" s="5" t="s">
        <v>87</v>
      </c>
    </row>
    <row r="24" spans="1:4" s="6" customFormat="1">
      <c r="A24" s="3">
        <v>24</v>
      </c>
      <c r="B24" s="5"/>
      <c r="C24" s="5" t="s">
        <v>88</v>
      </c>
    </row>
    <row r="25" spans="1:4" s="6" customFormat="1">
      <c r="A25" s="3">
        <v>25</v>
      </c>
      <c r="B25" s="5"/>
      <c r="C25" s="5" t="s">
        <v>86</v>
      </c>
    </row>
    <row r="26" spans="1:4" s="6" customFormat="1">
      <c r="A26" s="3">
        <v>26</v>
      </c>
      <c r="B26" s="5"/>
      <c r="C26" s="5" t="s">
        <v>85</v>
      </c>
    </row>
    <row r="27" spans="1:4" s="6" customFormat="1">
      <c r="A27" s="3">
        <v>27</v>
      </c>
      <c r="B27" s="5"/>
      <c r="C27" s="5" t="s">
        <v>89</v>
      </c>
    </row>
    <row r="28" spans="1:4" s="6" customFormat="1">
      <c r="A28" s="3">
        <v>28</v>
      </c>
      <c r="B28" s="5"/>
      <c r="C28" s="5" t="s">
        <v>92</v>
      </c>
    </row>
    <row r="29" spans="1:4" s="6" customFormat="1">
      <c r="A29" s="3">
        <v>29</v>
      </c>
      <c r="B29" s="5"/>
      <c r="C29" s="5" t="s">
        <v>65</v>
      </c>
    </row>
    <row r="30" spans="1:4" s="6" customFormat="1" ht="13.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/>
      <c r="C31" s="8" t="s">
        <v>83</v>
      </c>
      <c r="D31" s="6" t="s">
        <v>82</v>
      </c>
    </row>
    <row r="32" spans="1:4" s="6" customFormat="1">
      <c r="A32" s="3">
        <v>32</v>
      </c>
      <c r="B32" s="22"/>
      <c r="C32" s="5" t="s">
        <v>84</v>
      </c>
      <c r="D32" s="6">
        <v>2</v>
      </c>
    </row>
    <row r="33" spans="1:4" s="6" customFormat="1">
      <c r="A33" s="3">
        <v>33</v>
      </c>
      <c r="B33" s="22"/>
      <c r="C33" s="5" t="s">
        <v>87</v>
      </c>
    </row>
    <row r="34" spans="1:4" s="6" customFormat="1">
      <c r="A34" s="3">
        <v>34</v>
      </c>
      <c r="B34" s="22"/>
      <c r="C34" s="5" t="s">
        <v>88</v>
      </c>
    </row>
    <row r="35" spans="1:4" s="6" customFormat="1">
      <c r="A35" s="3">
        <v>35</v>
      </c>
      <c r="B35" s="5"/>
      <c r="C35" s="5" t="s">
        <v>86</v>
      </c>
    </row>
    <row r="36" spans="1:4" s="6" customFormat="1">
      <c r="A36" s="3">
        <v>36</v>
      </c>
      <c r="B36" s="5"/>
      <c r="C36" s="5" t="s">
        <v>85</v>
      </c>
    </row>
    <row r="37" spans="1:4" s="6" customFormat="1">
      <c r="A37" s="3">
        <v>37</v>
      </c>
      <c r="B37" s="5"/>
      <c r="C37" s="5" t="s">
        <v>89</v>
      </c>
    </row>
    <row r="38" spans="1:4" s="6" customFormat="1">
      <c r="A38" s="3">
        <v>38</v>
      </c>
      <c r="B38" s="5"/>
      <c r="C38" s="5" t="s">
        <v>92</v>
      </c>
    </row>
    <row r="39" spans="1:4" s="6" customFormat="1">
      <c r="A39" s="3">
        <v>39</v>
      </c>
      <c r="B39" s="5"/>
      <c r="C39" s="5" t="s">
        <v>65</v>
      </c>
    </row>
    <row r="40" spans="1:4" s="6" customFormat="1" ht="13.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/>
      <c r="C41" s="8" t="s">
        <v>83</v>
      </c>
      <c r="D41" s="6" t="s">
        <v>82</v>
      </c>
    </row>
    <row r="42" spans="1:4" s="6" customFormat="1">
      <c r="A42" s="3">
        <v>42</v>
      </c>
      <c r="B42" s="5"/>
      <c r="C42" s="5" t="s">
        <v>84</v>
      </c>
      <c r="D42" s="6">
        <v>3</v>
      </c>
    </row>
    <row r="43" spans="1:4" s="6" customFormat="1">
      <c r="A43" s="3">
        <v>43</v>
      </c>
      <c r="B43" s="5"/>
      <c r="C43" s="5" t="s">
        <v>87</v>
      </c>
    </row>
    <row r="44" spans="1:4" s="6" customFormat="1">
      <c r="A44" s="3">
        <v>44</v>
      </c>
      <c r="B44" s="5"/>
      <c r="C44" s="5" t="s">
        <v>88</v>
      </c>
    </row>
    <row r="45" spans="1:4" s="6" customFormat="1">
      <c r="A45" s="3">
        <v>45</v>
      </c>
      <c r="B45" s="5"/>
      <c r="C45" s="5" t="s">
        <v>86</v>
      </c>
    </row>
    <row r="46" spans="1:4" s="6" customFormat="1">
      <c r="A46" s="3">
        <v>46</v>
      </c>
      <c r="B46" s="5"/>
      <c r="C46" s="5" t="s">
        <v>85</v>
      </c>
    </row>
    <row r="47" spans="1:4" s="6" customFormat="1">
      <c r="A47" s="3">
        <v>47</v>
      </c>
      <c r="B47" s="5"/>
      <c r="C47" s="5" t="s">
        <v>89</v>
      </c>
    </row>
    <row r="48" spans="1:4" s="6" customFormat="1">
      <c r="A48" s="3">
        <v>48</v>
      </c>
      <c r="B48" s="5"/>
      <c r="C48" s="5" t="s">
        <v>92</v>
      </c>
    </row>
    <row r="49" spans="1:4" s="6" customFormat="1">
      <c r="A49" s="3">
        <v>49</v>
      </c>
      <c r="B49" s="5"/>
      <c r="C49" s="5" t="s">
        <v>65</v>
      </c>
    </row>
    <row r="50" spans="1:4" s="6" customFormat="1" ht="13.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83</v>
      </c>
      <c r="D51" s="6" t="s">
        <v>82</v>
      </c>
    </row>
    <row r="52" spans="1:4" s="6" customFormat="1">
      <c r="A52" s="3">
        <v>52</v>
      </c>
      <c r="B52" s="5"/>
      <c r="C52" s="5" t="s">
        <v>84</v>
      </c>
      <c r="D52" s="6">
        <v>4</v>
      </c>
    </row>
    <row r="53" spans="1:4" s="6" customFormat="1">
      <c r="A53" s="3">
        <v>53</v>
      </c>
      <c r="B53" s="5"/>
      <c r="C53" s="5" t="s">
        <v>87</v>
      </c>
    </row>
    <row r="54" spans="1:4" s="6" customFormat="1">
      <c r="A54" s="3">
        <v>54</v>
      </c>
      <c r="B54" s="5"/>
      <c r="C54" s="5" t="s">
        <v>88</v>
      </c>
    </row>
    <row r="55" spans="1:4" s="6" customFormat="1">
      <c r="A55" s="3">
        <v>55</v>
      </c>
      <c r="B55" s="5"/>
      <c r="C55" s="5" t="s">
        <v>86</v>
      </c>
    </row>
    <row r="56" spans="1:4" s="6" customFormat="1">
      <c r="A56" s="3">
        <v>56</v>
      </c>
      <c r="B56" s="5"/>
      <c r="C56" s="5" t="s">
        <v>85</v>
      </c>
    </row>
    <row r="57" spans="1:4" s="6" customFormat="1">
      <c r="A57" s="3">
        <v>57</v>
      </c>
      <c r="B57" s="5"/>
      <c r="C57" s="5" t="s">
        <v>89</v>
      </c>
    </row>
    <row r="58" spans="1:4" s="6" customFormat="1">
      <c r="A58" s="3">
        <v>58</v>
      </c>
      <c r="B58" s="5"/>
      <c r="C58" s="5" t="s">
        <v>92</v>
      </c>
    </row>
    <row r="59" spans="1:4" s="6" customFormat="1">
      <c r="A59" s="3">
        <v>59</v>
      </c>
      <c r="B59" s="5"/>
      <c r="C59" s="5" t="s">
        <v>65</v>
      </c>
    </row>
    <row r="60" spans="1:4" s="6" customFormat="1" ht="13.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83</v>
      </c>
      <c r="D61" s="6" t="s">
        <v>82</v>
      </c>
    </row>
    <row r="62" spans="1:4" s="6" customFormat="1">
      <c r="A62" s="3">
        <v>62</v>
      </c>
      <c r="B62" s="5"/>
      <c r="C62" s="5" t="s">
        <v>84</v>
      </c>
      <c r="D62" s="6">
        <v>5</v>
      </c>
    </row>
    <row r="63" spans="1:4" s="6" customFormat="1">
      <c r="A63" s="3">
        <v>63</v>
      </c>
      <c r="B63" s="5"/>
      <c r="C63" s="5" t="s">
        <v>87</v>
      </c>
    </row>
    <row r="64" spans="1:4" s="6" customFormat="1">
      <c r="A64" s="3">
        <v>64</v>
      </c>
      <c r="B64" s="5"/>
      <c r="C64" s="5" t="s">
        <v>88</v>
      </c>
    </row>
    <row r="65" spans="1:4" s="6" customFormat="1">
      <c r="A65" s="3">
        <v>65</v>
      </c>
      <c r="B65" s="5"/>
      <c r="C65" s="5" t="s">
        <v>86</v>
      </c>
    </row>
    <row r="66" spans="1:4" s="6" customFormat="1">
      <c r="A66" s="3">
        <v>66</v>
      </c>
      <c r="B66" s="5"/>
      <c r="C66" s="5" t="s">
        <v>85</v>
      </c>
    </row>
    <row r="67" spans="1:4" s="6" customFormat="1">
      <c r="A67" s="3">
        <v>67</v>
      </c>
      <c r="B67" s="5"/>
      <c r="C67" s="5" t="s">
        <v>89</v>
      </c>
    </row>
    <row r="68" spans="1:4" s="6" customFormat="1">
      <c r="A68" s="3">
        <v>68</v>
      </c>
      <c r="B68" s="5"/>
      <c r="C68" s="5" t="s">
        <v>92</v>
      </c>
    </row>
    <row r="69" spans="1:4" s="6" customFormat="1">
      <c r="A69" s="3">
        <v>69</v>
      </c>
      <c r="B69" s="5"/>
      <c r="C69" s="5" t="s">
        <v>65</v>
      </c>
    </row>
    <row r="70" spans="1:4" s="6" customFormat="1" ht="13.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83</v>
      </c>
      <c r="D71" s="6" t="s">
        <v>82</v>
      </c>
    </row>
    <row r="72" spans="1:4" s="6" customFormat="1">
      <c r="A72" s="3">
        <v>72</v>
      </c>
      <c r="B72" s="5"/>
      <c r="C72" s="5" t="s">
        <v>84</v>
      </c>
      <c r="D72" s="6">
        <v>6</v>
      </c>
    </row>
    <row r="73" spans="1:4" s="6" customFormat="1">
      <c r="A73" s="3">
        <v>73</v>
      </c>
      <c r="B73" s="5"/>
      <c r="C73" s="5" t="s">
        <v>87</v>
      </c>
    </row>
    <row r="74" spans="1:4" s="6" customFormat="1">
      <c r="A74" s="3">
        <v>74</v>
      </c>
      <c r="B74" s="5"/>
      <c r="C74" s="5" t="s">
        <v>88</v>
      </c>
    </row>
    <row r="75" spans="1:4" s="6" customFormat="1">
      <c r="A75" s="3">
        <v>75</v>
      </c>
      <c r="B75" s="5"/>
      <c r="C75" s="5" t="s">
        <v>86</v>
      </c>
    </row>
    <row r="76" spans="1:4" s="6" customFormat="1">
      <c r="A76" s="3">
        <v>76</v>
      </c>
      <c r="B76" s="5"/>
      <c r="C76" s="5" t="s">
        <v>85</v>
      </c>
    </row>
    <row r="77" spans="1:4" s="6" customFormat="1">
      <c r="A77" s="3">
        <v>77</v>
      </c>
      <c r="B77" s="5"/>
      <c r="C77" s="5" t="s">
        <v>89</v>
      </c>
    </row>
    <row r="78" spans="1:4" s="6" customFormat="1">
      <c r="A78" s="3">
        <v>78</v>
      </c>
      <c r="B78" s="5"/>
      <c r="C78" s="5" t="s">
        <v>92</v>
      </c>
    </row>
    <row r="79" spans="1:4" s="6" customFormat="1">
      <c r="A79" s="3">
        <v>79</v>
      </c>
      <c r="B79" s="5"/>
      <c r="C79" s="5" t="s">
        <v>65</v>
      </c>
    </row>
    <row r="80" spans="1:4" s="6" customFormat="1" ht="13.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83</v>
      </c>
      <c r="D81" s="6" t="s">
        <v>82</v>
      </c>
    </row>
    <row r="82" spans="1:4" s="6" customFormat="1">
      <c r="A82" s="3">
        <v>82</v>
      </c>
      <c r="B82" s="5"/>
      <c r="C82" s="5" t="s">
        <v>84</v>
      </c>
      <c r="D82" s="6">
        <v>7</v>
      </c>
    </row>
    <row r="83" spans="1:4" s="6" customFormat="1">
      <c r="A83" s="3">
        <v>83</v>
      </c>
      <c r="B83" s="5"/>
      <c r="C83" s="5" t="s">
        <v>87</v>
      </c>
    </row>
    <row r="84" spans="1:4" s="6" customFormat="1">
      <c r="A84" s="3">
        <v>84</v>
      </c>
      <c r="B84" s="5"/>
      <c r="C84" s="5" t="s">
        <v>88</v>
      </c>
    </row>
    <row r="85" spans="1:4" s="6" customFormat="1">
      <c r="A85" s="3">
        <v>85</v>
      </c>
      <c r="B85" s="5"/>
      <c r="C85" s="5" t="s">
        <v>86</v>
      </c>
    </row>
    <row r="86" spans="1:4" s="6" customFormat="1">
      <c r="A86" s="3">
        <v>86</v>
      </c>
      <c r="B86" s="5"/>
      <c r="C86" s="5" t="s">
        <v>85</v>
      </c>
    </row>
    <row r="87" spans="1:4" s="6" customFormat="1">
      <c r="A87" s="3">
        <v>87</v>
      </c>
      <c r="B87" s="5"/>
      <c r="C87" s="5" t="s">
        <v>89</v>
      </c>
    </row>
    <row r="88" spans="1:4" s="6" customFormat="1">
      <c r="A88" s="3">
        <v>88</v>
      </c>
      <c r="B88" s="5"/>
      <c r="C88" s="5" t="s">
        <v>92</v>
      </c>
    </row>
    <row r="89" spans="1:4" s="6" customFormat="1">
      <c r="A89" s="3">
        <v>89</v>
      </c>
      <c r="B89" s="5"/>
      <c r="C89" s="5" t="s">
        <v>65</v>
      </c>
    </row>
    <row r="90" spans="1:4" s="6" customFormat="1" ht="13.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83</v>
      </c>
      <c r="D91" s="6" t="s">
        <v>82</v>
      </c>
    </row>
    <row r="92" spans="1:4" s="6" customFormat="1">
      <c r="A92" s="3">
        <v>92</v>
      </c>
      <c r="B92" s="5"/>
      <c r="C92" s="5" t="s">
        <v>84</v>
      </c>
      <c r="D92" s="6">
        <v>8</v>
      </c>
    </row>
    <row r="93" spans="1:4" s="6" customFormat="1">
      <c r="A93" s="3">
        <v>93</v>
      </c>
      <c r="B93" s="5"/>
      <c r="C93" s="5" t="s">
        <v>87</v>
      </c>
    </row>
    <row r="94" spans="1:4" s="6" customFormat="1">
      <c r="A94" s="3">
        <v>94</v>
      </c>
      <c r="B94" s="5"/>
      <c r="C94" s="5" t="s">
        <v>88</v>
      </c>
    </row>
    <row r="95" spans="1:4" s="6" customFormat="1">
      <c r="A95" s="3">
        <v>95</v>
      </c>
      <c r="B95" s="5"/>
      <c r="C95" s="5" t="s">
        <v>86</v>
      </c>
    </row>
    <row r="96" spans="1:4" s="6" customFormat="1">
      <c r="A96" s="3">
        <v>96</v>
      </c>
      <c r="B96" s="5"/>
      <c r="C96" s="5" t="s">
        <v>85</v>
      </c>
    </row>
    <row r="97" spans="1:4" s="6" customFormat="1">
      <c r="A97" s="3">
        <v>97</v>
      </c>
      <c r="B97" s="5"/>
      <c r="C97" s="5" t="s">
        <v>89</v>
      </c>
    </row>
    <row r="98" spans="1:4" s="6" customFormat="1">
      <c r="A98" s="3">
        <v>98</v>
      </c>
      <c r="B98" s="5"/>
      <c r="C98" s="5" t="s">
        <v>92</v>
      </c>
    </row>
    <row r="99" spans="1:4" s="6" customFormat="1">
      <c r="A99" s="3">
        <v>99</v>
      </c>
      <c r="B99" s="5"/>
      <c r="C99" s="5" t="s">
        <v>65</v>
      </c>
    </row>
    <row r="100" spans="1:4" s="6" customFormat="1" ht="13.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83</v>
      </c>
      <c r="D101" s="6" t="s">
        <v>82</v>
      </c>
    </row>
    <row r="102" spans="1:4" s="6" customFormat="1">
      <c r="A102" s="3">
        <v>102</v>
      </c>
      <c r="B102" s="5"/>
      <c r="C102" s="5" t="s">
        <v>84</v>
      </c>
      <c r="D102" s="6">
        <v>9</v>
      </c>
    </row>
    <row r="103" spans="1:4" s="6" customFormat="1">
      <c r="A103" s="3">
        <v>103</v>
      </c>
      <c r="B103" s="5"/>
      <c r="C103" s="5" t="s">
        <v>87</v>
      </c>
    </row>
    <row r="104" spans="1:4" s="6" customFormat="1">
      <c r="A104" s="3">
        <v>104</v>
      </c>
      <c r="B104" s="5"/>
      <c r="C104" s="5" t="s">
        <v>88</v>
      </c>
    </row>
    <row r="105" spans="1:4" s="6" customFormat="1">
      <c r="A105" s="3">
        <v>105</v>
      </c>
      <c r="B105" s="5"/>
      <c r="C105" s="5" t="s">
        <v>86</v>
      </c>
    </row>
    <row r="106" spans="1:4" s="6" customFormat="1">
      <c r="A106" s="3">
        <v>106</v>
      </c>
      <c r="B106" s="5"/>
      <c r="C106" s="5" t="s">
        <v>85</v>
      </c>
    </row>
    <row r="107" spans="1:4" s="6" customFormat="1">
      <c r="A107" s="3">
        <v>107</v>
      </c>
      <c r="B107" s="5"/>
      <c r="C107" s="5" t="s">
        <v>89</v>
      </c>
    </row>
    <row r="108" spans="1:4" s="6" customFormat="1">
      <c r="A108" s="3">
        <v>108</v>
      </c>
      <c r="B108" s="5"/>
      <c r="C108" s="5" t="s">
        <v>92</v>
      </c>
    </row>
    <row r="109" spans="1:4" s="6" customFormat="1">
      <c r="A109" s="3">
        <v>109</v>
      </c>
      <c r="B109" s="5"/>
      <c r="C109" s="5" t="s">
        <v>65</v>
      </c>
    </row>
    <row r="110" spans="1:4" s="6" customFormat="1" ht="13.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83</v>
      </c>
      <c r="D111" s="6" t="s">
        <v>82</v>
      </c>
    </row>
    <row r="112" spans="1:4" s="6" customFormat="1">
      <c r="A112" s="3">
        <v>112</v>
      </c>
      <c r="B112" s="5"/>
      <c r="C112" s="5" t="s">
        <v>84</v>
      </c>
      <c r="D112" s="6">
        <v>10</v>
      </c>
    </row>
    <row r="113" spans="1:4" s="6" customFormat="1">
      <c r="A113" s="3">
        <v>113</v>
      </c>
      <c r="B113" s="5"/>
      <c r="C113" s="5" t="s">
        <v>87</v>
      </c>
    </row>
    <row r="114" spans="1:4" s="6" customFormat="1">
      <c r="A114" s="3">
        <v>114</v>
      </c>
      <c r="B114" s="5"/>
      <c r="C114" s="5" t="s">
        <v>88</v>
      </c>
    </row>
    <row r="115" spans="1:4" s="6" customFormat="1">
      <c r="A115" s="3">
        <v>115</v>
      </c>
      <c r="B115" s="5"/>
      <c r="C115" s="5" t="s">
        <v>86</v>
      </c>
    </row>
    <row r="116" spans="1:4" s="6" customFormat="1">
      <c r="A116" s="3">
        <v>116</v>
      </c>
      <c r="B116" s="5"/>
      <c r="C116" s="5" t="s">
        <v>85</v>
      </c>
    </row>
    <row r="117" spans="1:4" s="6" customFormat="1">
      <c r="A117" s="3">
        <v>117</v>
      </c>
      <c r="B117" s="5"/>
      <c r="C117" s="5" t="s">
        <v>89</v>
      </c>
    </row>
    <row r="118" spans="1:4" s="6" customFormat="1">
      <c r="A118" s="3">
        <v>118</v>
      </c>
      <c r="B118" s="5"/>
      <c r="C118" s="5" t="s">
        <v>92</v>
      </c>
    </row>
    <row r="119" spans="1:4" s="6" customFormat="1">
      <c r="A119" s="3">
        <v>119</v>
      </c>
      <c r="B119" s="5"/>
      <c r="C119" s="5" t="s">
        <v>65</v>
      </c>
    </row>
    <row r="120" spans="1:4" s="6" customFormat="1" ht="13.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83</v>
      </c>
      <c r="D121" s="6" t="s">
        <v>82</v>
      </c>
    </row>
    <row r="122" spans="1:4" s="6" customFormat="1">
      <c r="A122" s="3">
        <v>122</v>
      </c>
      <c r="B122" s="5"/>
      <c r="C122" s="5" t="s">
        <v>84</v>
      </c>
      <c r="D122" s="6">
        <v>11</v>
      </c>
    </row>
    <row r="123" spans="1:4" s="6" customFormat="1">
      <c r="A123" s="3">
        <v>123</v>
      </c>
      <c r="B123" s="5"/>
      <c r="C123" s="5" t="s">
        <v>87</v>
      </c>
    </row>
    <row r="124" spans="1:4" s="6" customFormat="1">
      <c r="A124" s="3">
        <v>124</v>
      </c>
      <c r="B124" s="5"/>
      <c r="C124" s="5" t="s">
        <v>88</v>
      </c>
    </row>
    <row r="125" spans="1:4" s="6" customFormat="1">
      <c r="A125" s="3">
        <v>125</v>
      </c>
      <c r="B125" s="5"/>
      <c r="C125" s="5" t="s">
        <v>86</v>
      </c>
    </row>
    <row r="126" spans="1:4" s="6" customFormat="1">
      <c r="A126" s="3">
        <v>126</v>
      </c>
      <c r="B126" s="5"/>
      <c r="C126" s="5" t="s">
        <v>85</v>
      </c>
    </row>
    <row r="127" spans="1:4" s="6" customFormat="1">
      <c r="A127" s="3">
        <v>127</v>
      </c>
      <c r="B127" s="5"/>
      <c r="C127" s="5" t="s">
        <v>89</v>
      </c>
    </row>
    <row r="128" spans="1:4" s="6" customFormat="1">
      <c r="A128" s="3">
        <v>128</v>
      </c>
      <c r="B128" s="5"/>
      <c r="C128" s="5" t="s">
        <v>92</v>
      </c>
    </row>
    <row r="129" spans="1:4" s="6" customFormat="1">
      <c r="A129" s="3">
        <v>129</v>
      </c>
      <c r="B129" s="5"/>
      <c r="C129" s="5" t="s">
        <v>65</v>
      </c>
    </row>
    <row r="130" spans="1:4" s="6" customFormat="1" ht="13.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83</v>
      </c>
      <c r="D131" s="6" t="s">
        <v>82</v>
      </c>
    </row>
    <row r="132" spans="1:4" s="6" customFormat="1">
      <c r="A132" s="3">
        <v>132</v>
      </c>
      <c r="B132" s="5"/>
      <c r="C132" s="5" t="s">
        <v>84</v>
      </c>
      <c r="D132" s="6">
        <v>12</v>
      </c>
    </row>
    <row r="133" spans="1:4" s="6" customFormat="1">
      <c r="A133" s="3">
        <v>133</v>
      </c>
      <c r="B133" s="5"/>
      <c r="C133" s="5" t="s">
        <v>87</v>
      </c>
    </row>
    <row r="134" spans="1:4" s="6" customFormat="1">
      <c r="A134" s="3">
        <v>134</v>
      </c>
      <c r="B134" s="5"/>
      <c r="C134" s="5" t="s">
        <v>88</v>
      </c>
    </row>
    <row r="135" spans="1:4" s="6" customFormat="1">
      <c r="A135" s="3">
        <v>135</v>
      </c>
      <c r="B135" s="5"/>
      <c r="C135" s="5" t="s">
        <v>86</v>
      </c>
    </row>
    <row r="136" spans="1:4" s="6" customFormat="1">
      <c r="A136" s="3">
        <v>136</v>
      </c>
      <c r="B136" s="5"/>
      <c r="C136" s="5" t="s">
        <v>85</v>
      </c>
    </row>
    <row r="137" spans="1:4" s="6" customFormat="1">
      <c r="A137" s="3">
        <v>137</v>
      </c>
      <c r="B137" s="5"/>
      <c r="C137" s="5" t="s">
        <v>89</v>
      </c>
    </row>
    <row r="138" spans="1:4" s="6" customFormat="1">
      <c r="A138" s="3">
        <v>138</v>
      </c>
      <c r="B138" s="5"/>
      <c r="C138" s="5" t="s">
        <v>92</v>
      </c>
    </row>
    <row r="139" spans="1:4" s="6" customFormat="1">
      <c r="A139" s="3">
        <v>139</v>
      </c>
      <c r="B139" s="5"/>
      <c r="C139" s="5" t="s">
        <v>65</v>
      </c>
    </row>
    <row r="140" spans="1:4" s="6" customFormat="1" ht="13.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83</v>
      </c>
      <c r="D141" s="6" t="s">
        <v>82</v>
      </c>
    </row>
    <row r="142" spans="1:4" s="6" customFormat="1">
      <c r="A142" s="3">
        <v>142</v>
      </c>
      <c r="B142" s="5"/>
      <c r="C142" s="5" t="s">
        <v>84</v>
      </c>
      <c r="D142" s="6">
        <v>13</v>
      </c>
    </row>
    <row r="143" spans="1:4" s="6" customFormat="1">
      <c r="A143" s="3">
        <v>143</v>
      </c>
      <c r="B143" s="5"/>
      <c r="C143" s="5" t="s">
        <v>87</v>
      </c>
    </row>
    <row r="144" spans="1:4" s="6" customFormat="1">
      <c r="A144" s="3">
        <v>144</v>
      </c>
      <c r="B144" s="5"/>
      <c r="C144" s="5" t="s">
        <v>88</v>
      </c>
    </row>
    <row r="145" spans="1:4" s="6" customFormat="1">
      <c r="A145" s="3">
        <v>145</v>
      </c>
      <c r="B145" s="5"/>
      <c r="C145" s="5" t="s">
        <v>86</v>
      </c>
    </row>
    <row r="146" spans="1:4" s="6" customFormat="1">
      <c r="A146" s="3">
        <v>146</v>
      </c>
      <c r="B146" s="5"/>
      <c r="C146" s="5" t="s">
        <v>85</v>
      </c>
    </row>
    <row r="147" spans="1:4" s="6" customFormat="1">
      <c r="A147" s="3">
        <v>147</v>
      </c>
      <c r="B147" s="5"/>
      <c r="C147" s="5" t="s">
        <v>89</v>
      </c>
    </row>
    <row r="148" spans="1:4" s="6" customFormat="1">
      <c r="A148" s="3">
        <v>148</v>
      </c>
      <c r="B148" s="5"/>
      <c r="C148" s="5" t="s">
        <v>92</v>
      </c>
    </row>
    <row r="149" spans="1:4" s="6" customFormat="1">
      <c r="A149" s="3">
        <v>149</v>
      </c>
      <c r="B149" s="5"/>
      <c r="C149" s="5" t="s">
        <v>65</v>
      </c>
    </row>
    <row r="150" spans="1:4" s="6" customFormat="1" ht="13.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83</v>
      </c>
      <c r="D151" s="6" t="s">
        <v>82</v>
      </c>
    </row>
    <row r="152" spans="1:4" s="6" customFormat="1">
      <c r="A152" s="3">
        <v>152</v>
      </c>
      <c r="B152" s="5"/>
      <c r="C152" s="5" t="s">
        <v>84</v>
      </c>
      <c r="D152" s="6">
        <v>14</v>
      </c>
    </row>
    <row r="153" spans="1:4" s="6" customFormat="1">
      <c r="A153" s="3">
        <v>153</v>
      </c>
      <c r="B153" s="5"/>
      <c r="C153" s="5" t="s">
        <v>87</v>
      </c>
    </row>
    <row r="154" spans="1:4" s="6" customFormat="1">
      <c r="A154" s="3">
        <v>154</v>
      </c>
      <c r="B154" s="5"/>
      <c r="C154" s="5" t="s">
        <v>88</v>
      </c>
    </row>
    <row r="155" spans="1:4" s="6" customFormat="1">
      <c r="A155" s="3">
        <v>155</v>
      </c>
      <c r="B155" s="5"/>
      <c r="C155" s="5" t="s">
        <v>86</v>
      </c>
    </row>
    <row r="156" spans="1:4" s="6" customFormat="1">
      <c r="A156" s="3">
        <v>156</v>
      </c>
      <c r="B156" s="5"/>
      <c r="C156" s="5" t="s">
        <v>85</v>
      </c>
    </row>
    <row r="157" spans="1:4" s="6" customFormat="1">
      <c r="A157" s="3">
        <v>157</v>
      </c>
      <c r="B157" s="5"/>
      <c r="C157" s="5" t="s">
        <v>89</v>
      </c>
    </row>
    <row r="158" spans="1:4" s="6" customFormat="1">
      <c r="A158" s="3">
        <v>158</v>
      </c>
      <c r="B158" s="5"/>
      <c r="C158" s="5" t="s">
        <v>92</v>
      </c>
    </row>
    <row r="159" spans="1:4" s="6" customFormat="1">
      <c r="A159" s="3">
        <v>159</v>
      </c>
      <c r="B159" s="5"/>
      <c r="C159" s="5" t="s">
        <v>65</v>
      </c>
    </row>
    <row r="160" spans="1:4" s="6" customFormat="1" ht="13.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83</v>
      </c>
      <c r="D161" s="6" t="s">
        <v>82</v>
      </c>
    </row>
    <row r="162" spans="1:4" s="6" customFormat="1">
      <c r="A162" s="3">
        <v>162</v>
      </c>
      <c r="B162" s="5"/>
      <c r="C162" s="5" t="s">
        <v>84</v>
      </c>
      <c r="D162" s="6">
        <v>15</v>
      </c>
    </row>
    <row r="163" spans="1:4" s="6" customFormat="1">
      <c r="A163" s="3">
        <v>163</v>
      </c>
      <c r="B163" s="5"/>
      <c r="C163" s="5" t="s">
        <v>87</v>
      </c>
    </row>
    <row r="164" spans="1:4" s="6" customFormat="1">
      <c r="A164" s="3">
        <v>164</v>
      </c>
      <c r="B164" s="5"/>
      <c r="C164" s="5" t="s">
        <v>88</v>
      </c>
    </row>
    <row r="165" spans="1:4" s="6" customFormat="1">
      <c r="A165" s="3">
        <v>165</v>
      </c>
      <c r="B165" s="5"/>
      <c r="C165" s="5" t="s">
        <v>86</v>
      </c>
    </row>
    <row r="166" spans="1:4" s="6" customFormat="1">
      <c r="A166" s="3">
        <v>166</v>
      </c>
      <c r="B166" s="5"/>
      <c r="C166" s="5" t="s">
        <v>85</v>
      </c>
    </row>
    <row r="167" spans="1:4" s="6" customFormat="1">
      <c r="A167" s="3">
        <v>167</v>
      </c>
      <c r="B167" s="5"/>
      <c r="C167" s="5" t="s">
        <v>89</v>
      </c>
    </row>
    <row r="168" spans="1:4" s="6" customFormat="1">
      <c r="A168" s="3">
        <v>168</v>
      </c>
      <c r="B168" s="5"/>
      <c r="C168" s="5" t="s">
        <v>92</v>
      </c>
    </row>
    <row r="169" spans="1:4" s="6" customFormat="1">
      <c r="A169" s="3">
        <v>169</v>
      </c>
      <c r="B169" s="5"/>
      <c r="C169" s="5" t="s">
        <v>65</v>
      </c>
    </row>
    <row r="170" spans="1:4" s="6" customFormat="1" ht="13.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 t="s">
        <v>640</v>
      </c>
      <c r="C171" s="24" t="s">
        <v>83</v>
      </c>
      <c r="D171" s="25" t="s">
        <v>231</v>
      </c>
    </row>
    <row r="172" spans="1:4" s="25" customFormat="1">
      <c r="A172" s="23">
        <v>172</v>
      </c>
      <c r="B172" s="23">
        <v>0</v>
      </c>
      <c r="C172" s="23" t="s">
        <v>84</v>
      </c>
      <c r="D172" s="25">
        <v>1</v>
      </c>
    </row>
    <row r="173" spans="1:4" s="25" customFormat="1">
      <c r="A173" s="23">
        <v>173</v>
      </c>
      <c r="B173" s="23" t="s">
        <v>641</v>
      </c>
      <c r="C173" s="23" t="s">
        <v>87</v>
      </c>
    </row>
    <row r="174" spans="1:4" s="25" customFormat="1">
      <c r="A174" s="23">
        <v>174</v>
      </c>
      <c r="B174" s="23" t="s">
        <v>641</v>
      </c>
      <c r="C174" s="23" t="s">
        <v>88</v>
      </c>
    </row>
    <row r="175" spans="1:4" s="25" customFormat="1">
      <c r="A175" s="23">
        <v>175</v>
      </c>
      <c r="B175" s="23" t="s">
        <v>641</v>
      </c>
      <c r="C175" s="23" t="s">
        <v>86</v>
      </c>
    </row>
    <row r="176" spans="1:4" s="25" customFormat="1">
      <c r="A176" s="23">
        <v>176</v>
      </c>
      <c r="B176" s="23" t="s">
        <v>641</v>
      </c>
      <c r="C176" s="23" t="s">
        <v>85</v>
      </c>
    </row>
    <row r="177" spans="1:4" s="25" customFormat="1">
      <c r="A177" s="23">
        <v>177</v>
      </c>
      <c r="B177" s="23" t="s">
        <v>642</v>
      </c>
      <c r="C177" s="23" t="s">
        <v>89</v>
      </c>
    </row>
    <row r="178" spans="1:4" s="25" customFormat="1">
      <c r="A178" s="23">
        <v>178</v>
      </c>
      <c r="B178" s="23" t="s">
        <v>641</v>
      </c>
      <c r="C178" s="23" t="s">
        <v>92</v>
      </c>
    </row>
    <row r="179" spans="1:4" s="25" customFormat="1">
      <c r="A179" s="23">
        <v>179</v>
      </c>
      <c r="B179" s="23" t="s">
        <v>604</v>
      </c>
      <c r="C179" s="23" t="s">
        <v>65</v>
      </c>
    </row>
    <row r="180" spans="1:4" s="25" customFormat="1" ht="13.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 t="s">
        <v>643</v>
      </c>
      <c r="C181" s="24" t="s">
        <v>83</v>
      </c>
      <c r="D181" s="25" t="s">
        <v>231</v>
      </c>
    </row>
    <row r="182" spans="1:4" s="25" customFormat="1">
      <c r="A182" s="23">
        <v>182</v>
      </c>
      <c r="B182" s="23">
        <v>0</v>
      </c>
      <c r="C182" s="23" t="s">
        <v>84</v>
      </c>
      <c r="D182" s="25">
        <v>2</v>
      </c>
    </row>
    <row r="183" spans="1:4" s="25" customFormat="1">
      <c r="A183" s="23">
        <v>183</v>
      </c>
      <c r="B183" s="23" t="s">
        <v>641</v>
      </c>
      <c r="C183" s="23" t="s">
        <v>87</v>
      </c>
    </row>
    <row r="184" spans="1:4" s="25" customFormat="1">
      <c r="A184" s="23">
        <v>184</v>
      </c>
      <c r="B184" s="23" t="s">
        <v>641</v>
      </c>
      <c r="C184" s="23" t="s">
        <v>88</v>
      </c>
    </row>
    <row r="185" spans="1:4" s="25" customFormat="1">
      <c r="A185" s="23">
        <v>185</v>
      </c>
      <c r="B185" s="23" t="s">
        <v>641</v>
      </c>
      <c r="C185" s="23" t="s">
        <v>86</v>
      </c>
    </row>
    <row r="186" spans="1:4" s="25" customFormat="1">
      <c r="A186" s="23">
        <v>186</v>
      </c>
      <c r="B186" s="23" t="s">
        <v>641</v>
      </c>
      <c r="C186" s="23" t="s">
        <v>85</v>
      </c>
    </row>
    <row r="187" spans="1:4" s="25" customFormat="1">
      <c r="A187" s="23">
        <v>187</v>
      </c>
      <c r="B187" s="23" t="s">
        <v>642</v>
      </c>
      <c r="C187" s="23" t="s">
        <v>89</v>
      </c>
    </row>
    <row r="188" spans="1:4" s="25" customFormat="1">
      <c r="A188" s="23">
        <v>188</v>
      </c>
      <c r="B188" s="23" t="s">
        <v>641</v>
      </c>
      <c r="C188" s="23" t="s">
        <v>92</v>
      </c>
    </row>
    <row r="189" spans="1:4" s="25" customFormat="1">
      <c r="A189" s="23">
        <v>189</v>
      </c>
      <c r="B189" s="23" t="s">
        <v>606</v>
      </c>
      <c r="C189" s="23" t="s">
        <v>65</v>
      </c>
    </row>
    <row r="190" spans="1:4" s="25" customFormat="1" ht="13.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 t="s">
        <v>644</v>
      </c>
      <c r="C191" s="24" t="s">
        <v>83</v>
      </c>
      <c r="D191" s="25" t="s">
        <v>231</v>
      </c>
    </row>
    <row r="192" spans="1:4" s="25" customFormat="1">
      <c r="A192" s="23">
        <v>192</v>
      </c>
      <c r="B192" s="23">
        <v>0</v>
      </c>
      <c r="C192" s="23" t="s">
        <v>84</v>
      </c>
      <c r="D192" s="25">
        <v>3</v>
      </c>
    </row>
    <row r="193" spans="1:4" s="25" customFormat="1">
      <c r="A193" s="23">
        <v>193</v>
      </c>
      <c r="B193" s="23" t="s">
        <v>641</v>
      </c>
      <c r="C193" s="23" t="s">
        <v>87</v>
      </c>
    </row>
    <row r="194" spans="1:4" s="25" customFormat="1">
      <c r="A194" s="23">
        <v>194</v>
      </c>
      <c r="B194" s="23" t="s">
        <v>641</v>
      </c>
      <c r="C194" s="23" t="s">
        <v>88</v>
      </c>
    </row>
    <row r="195" spans="1:4" s="25" customFormat="1">
      <c r="A195" s="23">
        <v>195</v>
      </c>
      <c r="B195" s="23" t="s">
        <v>641</v>
      </c>
      <c r="C195" s="23" t="s">
        <v>86</v>
      </c>
    </row>
    <row r="196" spans="1:4" s="25" customFormat="1">
      <c r="A196" s="23">
        <v>196</v>
      </c>
      <c r="B196" s="23" t="s">
        <v>641</v>
      </c>
      <c r="C196" s="23" t="s">
        <v>85</v>
      </c>
    </row>
    <row r="197" spans="1:4" s="25" customFormat="1">
      <c r="A197" s="23">
        <v>197</v>
      </c>
      <c r="B197" s="23" t="s">
        <v>642</v>
      </c>
      <c r="C197" s="23" t="s">
        <v>89</v>
      </c>
    </row>
    <row r="198" spans="1:4" s="25" customFormat="1">
      <c r="A198" s="23">
        <v>198</v>
      </c>
      <c r="B198" s="23" t="s">
        <v>641</v>
      </c>
      <c r="C198" s="23" t="s">
        <v>92</v>
      </c>
    </row>
    <row r="199" spans="1:4" s="25" customFormat="1">
      <c r="A199" s="23">
        <v>199</v>
      </c>
      <c r="B199" s="23" t="s">
        <v>608</v>
      </c>
      <c r="C199" s="23" t="s">
        <v>65</v>
      </c>
    </row>
    <row r="200" spans="1:4" s="25" customFormat="1" ht="13.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/>
      <c r="C201" s="24" t="s">
        <v>83</v>
      </c>
      <c r="D201" s="25" t="s">
        <v>231</v>
      </c>
    </row>
    <row r="202" spans="1:4" s="25" customFormat="1">
      <c r="A202" s="23">
        <v>202</v>
      </c>
      <c r="B202" s="23"/>
      <c r="C202" s="23" t="s">
        <v>84</v>
      </c>
      <c r="D202" s="25">
        <v>4</v>
      </c>
    </row>
    <row r="203" spans="1:4" s="25" customFormat="1">
      <c r="A203" s="23">
        <v>203</v>
      </c>
      <c r="B203" s="23"/>
      <c r="C203" s="23" t="s">
        <v>87</v>
      </c>
    </row>
    <row r="204" spans="1:4" s="25" customFormat="1">
      <c r="A204" s="23">
        <v>204</v>
      </c>
      <c r="B204" s="23"/>
      <c r="C204" s="23" t="s">
        <v>88</v>
      </c>
    </row>
    <row r="205" spans="1:4" s="25" customFormat="1">
      <c r="A205" s="23">
        <v>205</v>
      </c>
      <c r="B205" s="23"/>
      <c r="C205" s="23" t="s">
        <v>86</v>
      </c>
    </row>
    <row r="206" spans="1:4" s="25" customFormat="1">
      <c r="A206" s="23">
        <v>206</v>
      </c>
      <c r="B206" s="23"/>
      <c r="C206" s="23" t="s">
        <v>85</v>
      </c>
    </row>
    <row r="207" spans="1:4" s="25" customFormat="1">
      <c r="A207" s="23">
        <v>207</v>
      </c>
      <c r="B207" s="23"/>
      <c r="C207" s="23" t="s">
        <v>89</v>
      </c>
    </row>
    <row r="208" spans="1:4" s="25" customFormat="1">
      <c r="A208" s="23">
        <v>208</v>
      </c>
      <c r="B208" s="23"/>
      <c r="C208" s="23" t="s">
        <v>92</v>
      </c>
    </row>
    <row r="209" spans="1:4" s="25" customFormat="1">
      <c r="A209" s="23">
        <v>209</v>
      </c>
      <c r="B209" s="23"/>
      <c r="C209" s="23" t="s">
        <v>65</v>
      </c>
    </row>
    <row r="210" spans="1:4" s="25" customFormat="1" ht="13.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83</v>
      </c>
      <c r="D211" s="25" t="s">
        <v>231</v>
      </c>
    </row>
    <row r="212" spans="1:4" s="25" customFormat="1">
      <c r="A212" s="23">
        <v>212</v>
      </c>
      <c r="B212" s="23"/>
      <c r="C212" s="23" t="s">
        <v>84</v>
      </c>
      <c r="D212" s="25">
        <v>5</v>
      </c>
    </row>
    <row r="213" spans="1:4" s="25" customFormat="1">
      <c r="A213" s="23">
        <v>213</v>
      </c>
      <c r="B213" s="23"/>
      <c r="C213" s="23" t="s">
        <v>87</v>
      </c>
    </row>
    <row r="214" spans="1:4" s="25" customFormat="1">
      <c r="A214" s="23">
        <v>214</v>
      </c>
      <c r="B214" s="23"/>
      <c r="C214" s="23" t="s">
        <v>88</v>
      </c>
    </row>
    <row r="215" spans="1:4" s="25" customFormat="1">
      <c r="A215" s="23">
        <v>215</v>
      </c>
      <c r="B215" s="23"/>
      <c r="C215" s="23" t="s">
        <v>86</v>
      </c>
    </row>
    <row r="216" spans="1:4" s="25" customFormat="1">
      <c r="A216" s="23">
        <v>216</v>
      </c>
      <c r="B216" s="23"/>
      <c r="C216" s="23" t="s">
        <v>85</v>
      </c>
    </row>
    <row r="217" spans="1:4" s="25" customFormat="1">
      <c r="A217" s="23">
        <v>217</v>
      </c>
      <c r="B217" s="23"/>
      <c r="C217" s="23" t="s">
        <v>89</v>
      </c>
    </row>
    <row r="218" spans="1:4" s="25" customFormat="1">
      <c r="A218" s="23">
        <v>218</v>
      </c>
      <c r="B218" s="23"/>
      <c r="C218" s="23" t="s">
        <v>92</v>
      </c>
    </row>
    <row r="219" spans="1:4" s="25" customFormat="1">
      <c r="A219" s="23">
        <v>219</v>
      </c>
      <c r="B219" s="23"/>
      <c r="C219" s="23" t="s">
        <v>65</v>
      </c>
    </row>
    <row r="220" spans="1:4" s="25" customFormat="1" ht="13.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83</v>
      </c>
      <c r="D221" s="25" t="s">
        <v>231</v>
      </c>
    </row>
    <row r="222" spans="1:4" s="25" customFormat="1">
      <c r="A222" s="23">
        <v>222</v>
      </c>
      <c r="B222" s="23"/>
      <c r="C222" s="23" t="s">
        <v>84</v>
      </c>
      <c r="D222" s="25">
        <v>6</v>
      </c>
    </row>
    <row r="223" spans="1:4" s="25" customFormat="1">
      <c r="A223" s="23">
        <v>223</v>
      </c>
      <c r="B223" s="23"/>
      <c r="C223" s="23" t="s">
        <v>87</v>
      </c>
    </row>
    <row r="224" spans="1:4" s="25" customFormat="1">
      <c r="A224" s="23">
        <v>224</v>
      </c>
      <c r="B224" s="23"/>
      <c r="C224" s="23" t="s">
        <v>88</v>
      </c>
    </row>
    <row r="225" spans="1:4" s="25" customFormat="1">
      <c r="A225" s="23">
        <v>225</v>
      </c>
      <c r="B225" s="23"/>
      <c r="C225" s="23" t="s">
        <v>86</v>
      </c>
    </row>
    <row r="226" spans="1:4" s="25" customFormat="1">
      <c r="A226" s="23">
        <v>226</v>
      </c>
      <c r="B226" s="23"/>
      <c r="C226" s="23" t="s">
        <v>85</v>
      </c>
    </row>
    <row r="227" spans="1:4" s="25" customFormat="1">
      <c r="A227" s="23">
        <v>227</v>
      </c>
      <c r="B227" s="23"/>
      <c r="C227" s="23" t="s">
        <v>89</v>
      </c>
    </row>
    <row r="228" spans="1:4" s="25" customFormat="1">
      <c r="A228" s="23">
        <v>228</v>
      </c>
      <c r="B228" s="23"/>
      <c r="C228" s="23" t="s">
        <v>92</v>
      </c>
    </row>
    <row r="229" spans="1:4" s="25" customFormat="1">
      <c r="A229" s="23">
        <v>229</v>
      </c>
      <c r="B229" s="23"/>
      <c r="C229" s="23" t="s">
        <v>65</v>
      </c>
    </row>
    <row r="230" spans="1:4" s="25" customFormat="1" ht="13.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83</v>
      </c>
      <c r="D231" s="25" t="s">
        <v>231</v>
      </c>
    </row>
    <row r="232" spans="1:4" s="25" customFormat="1">
      <c r="A232" s="23">
        <v>232</v>
      </c>
      <c r="B232" s="23"/>
      <c r="C232" s="23" t="s">
        <v>84</v>
      </c>
      <c r="D232" s="25">
        <v>7</v>
      </c>
    </row>
    <row r="233" spans="1:4" s="25" customFormat="1">
      <c r="A233" s="23">
        <v>233</v>
      </c>
      <c r="B233" s="23"/>
      <c r="C233" s="23" t="s">
        <v>87</v>
      </c>
    </row>
    <row r="234" spans="1:4" s="25" customFormat="1">
      <c r="A234" s="23">
        <v>234</v>
      </c>
      <c r="B234" s="23"/>
      <c r="C234" s="23" t="s">
        <v>88</v>
      </c>
    </row>
    <row r="235" spans="1:4" s="25" customFormat="1">
      <c r="A235" s="23">
        <v>235</v>
      </c>
      <c r="B235" s="23"/>
      <c r="C235" s="23" t="s">
        <v>86</v>
      </c>
    </row>
    <row r="236" spans="1:4" s="25" customFormat="1">
      <c r="A236" s="23">
        <v>236</v>
      </c>
      <c r="B236" s="23"/>
      <c r="C236" s="23" t="s">
        <v>85</v>
      </c>
    </row>
    <row r="237" spans="1:4" s="25" customFormat="1">
      <c r="A237" s="23">
        <v>237</v>
      </c>
      <c r="B237" s="23"/>
      <c r="C237" s="23" t="s">
        <v>89</v>
      </c>
    </row>
    <row r="238" spans="1:4" s="25" customFormat="1">
      <c r="A238" s="23">
        <v>238</v>
      </c>
      <c r="B238" s="23"/>
      <c r="C238" s="23" t="s">
        <v>92</v>
      </c>
    </row>
    <row r="239" spans="1:4" s="25" customFormat="1">
      <c r="A239" s="23">
        <v>239</v>
      </c>
      <c r="B239" s="23"/>
      <c r="C239" s="23" t="s">
        <v>65</v>
      </c>
    </row>
    <row r="240" spans="1:4" s="25" customFormat="1" ht="13.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83</v>
      </c>
      <c r="D241" s="25" t="s">
        <v>231</v>
      </c>
    </row>
    <row r="242" spans="1:4" s="25" customFormat="1">
      <c r="A242" s="23">
        <v>242</v>
      </c>
      <c r="B242" s="23"/>
      <c r="C242" s="23" t="s">
        <v>84</v>
      </c>
      <c r="D242" s="25">
        <v>8</v>
      </c>
    </row>
    <row r="243" spans="1:4" s="25" customFormat="1">
      <c r="A243" s="23">
        <v>243</v>
      </c>
      <c r="B243" s="23"/>
      <c r="C243" s="23" t="s">
        <v>87</v>
      </c>
    </row>
    <row r="244" spans="1:4" s="25" customFormat="1">
      <c r="A244" s="23">
        <v>244</v>
      </c>
      <c r="B244" s="23"/>
      <c r="C244" s="23" t="s">
        <v>88</v>
      </c>
    </row>
    <row r="245" spans="1:4" s="25" customFormat="1">
      <c r="A245" s="23">
        <v>245</v>
      </c>
      <c r="B245" s="23"/>
      <c r="C245" s="23" t="s">
        <v>86</v>
      </c>
    </row>
    <row r="246" spans="1:4" s="25" customFormat="1">
      <c r="A246" s="23">
        <v>246</v>
      </c>
      <c r="B246" s="23"/>
      <c r="C246" s="23" t="s">
        <v>85</v>
      </c>
    </row>
    <row r="247" spans="1:4" s="25" customFormat="1">
      <c r="A247" s="23">
        <v>247</v>
      </c>
      <c r="B247" s="23"/>
      <c r="C247" s="23" t="s">
        <v>89</v>
      </c>
    </row>
    <row r="248" spans="1:4" s="25" customFormat="1">
      <c r="A248" s="23">
        <v>248</v>
      </c>
      <c r="B248" s="23"/>
      <c r="C248" s="23" t="s">
        <v>92</v>
      </c>
    </row>
    <row r="249" spans="1:4" s="25" customFormat="1">
      <c r="A249" s="23">
        <v>249</v>
      </c>
      <c r="B249" s="23"/>
      <c r="C249" s="23" t="s">
        <v>65</v>
      </c>
    </row>
    <row r="250" spans="1:4" s="25" customFormat="1" ht="13.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83</v>
      </c>
      <c r="D251" s="25" t="s">
        <v>231</v>
      </c>
    </row>
    <row r="252" spans="1:4" s="25" customFormat="1">
      <c r="A252" s="23">
        <v>252</v>
      </c>
      <c r="B252" s="23"/>
      <c r="C252" s="23" t="s">
        <v>84</v>
      </c>
      <c r="D252" s="25">
        <v>9</v>
      </c>
    </row>
    <row r="253" spans="1:4" s="25" customFormat="1">
      <c r="A253" s="23">
        <v>253</v>
      </c>
      <c r="B253" s="23"/>
      <c r="C253" s="23" t="s">
        <v>87</v>
      </c>
    </row>
    <row r="254" spans="1:4" s="25" customFormat="1">
      <c r="A254" s="23">
        <v>254</v>
      </c>
      <c r="B254" s="23"/>
      <c r="C254" s="23" t="s">
        <v>88</v>
      </c>
    </row>
    <row r="255" spans="1:4" s="25" customFormat="1">
      <c r="A255" s="23">
        <v>255</v>
      </c>
      <c r="B255" s="23"/>
      <c r="C255" s="23" t="s">
        <v>86</v>
      </c>
    </row>
    <row r="256" spans="1:4" s="25" customFormat="1">
      <c r="A256" s="23">
        <v>256</v>
      </c>
      <c r="B256" s="23"/>
      <c r="C256" s="23" t="s">
        <v>85</v>
      </c>
    </row>
    <row r="257" spans="1:5" s="25" customFormat="1">
      <c r="A257" s="23">
        <v>257</v>
      </c>
      <c r="B257" s="23"/>
      <c r="C257" s="23" t="s">
        <v>89</v>
      </c>
    </row>
    <row r="258" spans="1:5" s="25" customFormat="1">
      <c r="A258" s="23">
        <v>258</v>
      </c>
      <c r="B258" s="23"/>
      <c r="C258" s="23" t="s">
        <v>92</v>
      </c>
    </row>
    <row r="259" spans="1:5" s="25" customFormat="1">
      <c r="A259" s="23">
        <v>259</v>
      </c>
      <c r="B259" s="23"/>
      <c r="C259" s="23" t="s">
        <v>65</v>
      </c>
    </row>
    <row r="260" spans="1:5" s="25" customFormat="1" ht="13.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83</v>
      </c>
      <c r="D261" s="25" t="s">
        <v>231</v>
      </c>
    </row>
    <row r="262" spans="1:5" s="25" customFormat="1">
      <c r="A262" s="23">
        <v>262</v>
      </c>
      <c r="B262" s="23"/>
      <c r="C262" s="23" t="s">
        <v>84</v>
      </c>
      <c r="D262" s="25">
        <v>10</v>
      </c>
    </row>
    <row r="263" spans="1:5" s="25" customFormat="1">
      <c r="A263" s="23">
        <v>263</v>
      </c>
      <c r="B263" s="23"/>
      <c r="C263" s="23" t="s">
        <v>87</v>
      </c>
    </row>
    <row r="264" spans="1:5" s="25" customFormat="1">
      <c r="A264" s="23">
        <v>264</v>
      </c>
      <c r="B264" s="23"/>
      <c r="C264" s="23" t="s">
        <v>88</v>
      </c>
    </row>
    <row r="265" spans="1:5" s="25" customFormat="1">
      <c r="A265" s="23">
        <v>265</v>
      </c>
      <c r="B265" s="23"/>
      <c r="C265" s="23" t="s">
        <v>86</v>
      </c>
    </row>
    <row r="266" spans="1:5" s="25" customFormat="1">
      <c r="A266" s="23">
        <v>266</v>
      </c>
      <c r="B266" s="23"/>
      <c r="C266" s="23" t="s">
        <v>85</v>
      </c>
    </row>
    <row r="267" spans="1:5" s="25" customFormat="1">
      <c r="A267" s="23">
        <v>267</v>
      </c>
      <c r="B267" s="23"/>
      <c r="C267" s="23" t="s">
        <v>89</v>
      </c>
    </row>
    <row r="268" spans="1:5" s="25" customFormat="1">
      <c r="A268" s="23">
        <v>268</v>
      </c>
      <c r="B268" s="23"/>
      <c r="C268" s="23" t="s">
        <v>92</v>
      </c>
    </row>
    <row r="269" spans="1:5" s="25" customFormat="1">
      <c r="A269" s="23">
        <v>269</v>
      </c>
      <c r="B269" s="23"/>
      <c r="C269" s="23" t="s">
        <v>65</v>
      </c>
    </row>
    <row r="270" spans="1:5" s="25" customFormat="1" ht="13.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/>
      <c r="C271" s="11" t="s">
        <v>15</v>
      </c>
      <c r="D271" s="10" t="s">
        <v>28</v>
      </c>
    </row>
    <row r="272" spans="1:5" s="10" customFormat="1">
      <c r="A272" s="23">
        <v>272</v>
      </c>
      <c r="B272" s="15"/>
      <c r="C272" s="9" t="s">
        <v>16</v>
      </c>
      <c r="E272" s="15"/>
    </row>
    <row r="273" spans="1:5" s="10" customFormat="1">
      <c r="A273" s="23">
        <v>273</v>
      </c>
      <c r="B273" s="15"/>
      <c r="C273" s="9" t="s">
        <v>17</v>
      </c>
      <c r="E273" s="15"/>
    </row>
    <row r="274" spans="1:5" s="10" customFormat="1">
      <c r="A274" s="23">
        <v>274</v>
      </c>
      <c r="B274" s="15"/>
      <c r="C274" s="9" t="s">
        <v>18</v>
      </c>
      <c r="E274" s="15"/>
    </row>
    <row r="275" spans="1:5" s="10" customFormat="1">
      <c r="A275" s="23">
        <v>275</v>
      </c>
      <c r="B275" s="15"/>
      <c r="C275" s="9" t="s">
        <v>19</v>
      </c>
      <c r="E275" s="15"/>
    </row>
    <row r="276" spans="1:5" s="10" customFormat="1">
      <c r="A276" s="23">
        <v>276</v>
      </c>
      <c r="B276" s="15"/>
      <c r="C276" s="9" t="s">
        <v>20</v>
      </c>
      <c r="E276" s="15"/>
    </row>
    <row r="277" spans="1:5" s="10" customFormat="1">
      <c r="A277" s="23">
        <v>277</v>
      </c>
      <c r="B277" s="15"/>
      <c r="C277" s="9" t="s">
        <v>21</v>
      </c>
      <c r="E277" s="15"/>
    </row>
    <row r="278" spans="1:5" s="10" customFormat="1">
      <c r="A278" s="23">
        <v>278</v>
      </c>
      <c r="B278" s="15"/>
      <c r="C278" s="9" t="s">
        <v>22</v>
      </c>
      <c r="E278" s="15"/>
    </row>
    <row r="279" spans="1:5" s="10" customFormat="1">
      <c r="A279" s="23">
        <v>279</v>
      </c>
      <c r="B279" s="15"/>
      <c r="C279" s="9" t="s">
        <v>23</v>
      </c>
      <c r="E279" s="15"/>
    </row>
    <row r="280" spans="1:5" s="10" customFormat="1">
      <c r="A280" s="23">
        <v>280</v>
      </c>
      <c r="B280" s="15"/>
      <c r="C280" s="9" t="s">
        <v>24</v>
      </c>
      <c r="E280" s="15"/>
    </row>
    <row r="281" spans="1:5" s="10" customFormat="1">
      <c r="A281" s="23">
        <v>281</v>
      </c>
      <c r="B281" s="15"/>
      <c r="C281" s="9" t="s">
        <v>38</v>
      </c>
      <c r="E281" s="15"/>
    </row>
    <row r="282" spans="1:5" s="10" customFormat="1">
      <c r="A282" s="23">
        <v>282</v>
      </c>
      <c r="B282" s="15"/>
      <c r="C282" s="9" t="s">
        <v>39</v>
      </c>
    </row>
    <row r="283" spans="1:5" s="10" customFormat="1">
      <c r="A283" s="23">
        <v>283</v>
      </c>
      <c r="B283" s="15"/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3.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/>
      <c r="C286" s="11" t="s">
        <v>15</v>
      </c>
      <c r="D286" s="10" t="s">
        <v>29</v>
      </c>
    </row>
    <row r="287" spans="1:5" s="10" customFormat="1">
      <c r="A287" s="23">
        <v>287</v>
      </c>
      <c r="B287" s="15"/>
      <c r="C287" s="9" t="s">
        <v>16</v>
      </c>
    </row>
    <row r="288" spans="1:5" s="10" customFormat="1">
      <c r="A288" s="23">
        <v>288</v>
      </c>
      <c r="B288" s="15"/>
      <c r="C288" s="9" t="s">
        <v>17</v>
      </c>
    </row>
    <row r="289" spans="1:4" s="10" customFormat="1">
      <c r="A289" s="23">
        <v>289</v>
      </c>
      <c r="B289" s="15"/>
      <c r="C289" s="9" t="s">
        <v>18</v>
      </c>
    </row>
    <row r="290" spans="1:4" s="10" customFormat="1">
      <c r="A290" s="23">
        <v>290</v>
      </c>
      <c r="B290" s="15"/>
      <c r="C290" s="9" t="s">
        <v>19</v>
      </c>
    </row>
    <row r="291" spans="1:4" s="10" customFormat="1">
      <c r="A291" s="23">
        <v>291</v>
      </c>
      <c r="B291" s="15"/>
      <c r="C291" s="9" t="s">
        <v>20</v>
      </c>
    </row>
    <row r="292" spans="1:4" s="10" customFormat="1">
      <c r="A292" s="23">
        <v>292</v>
      </c>
      <c r="B292" s="15"/>
      <c r="C292" s="9" t="s">
        <v>21</v>
      </c>
    </row>
    <row r="293" spans="1:4" s="10" customFormat="1">
      <c r="A293" s="23">
        <v>293</v>
      </c>
      <c r="B293" s="15"/>
      <c r="C293" s="9" t="s">
        <v>22</v>
      </c>
    </row>
    <row r="294" spans="1:4" s="10" customFormat="1">
      <c r="A294" s="23">
        <v>294</v>
      </c>
      <c r="B294" s="15"/>
      <c r="C294" s="9" t="s">
        <v>23</v>
      </c>
    </row>
    <row r="295" spans="1:4" s="10" customFormat="1">
      <c r="A295" s="23">
        <v>295</v>
      </c>
      <c r="B295" s="15"/>
      <c r="C295" s="9" t="s">
        <v>24</v>
      </c>
    </row>
    <row r="296" spans="1:4" s="10" customFormat="1">
      <c r="A296" s="23">
        <v>296</v>
      </c>
      <c r="B296" s="15"/>
      <c r="C296" s="9" t="s">
        <v>38</v>
      </c>
    </row>
    <row r="297" spans="1:4" s="10" customFormat="1">
      <c r="A297" s="23">
        <v>297</v>
      </c>
      <c r="B297" s="15"/>
      <c r="C297" s="9" t="s">
        <v>39</v>
      </c>
    </row>
    <row r="298" spans="1:4" s="10" customFormat="1">
      <c r="A298" s="23">
        <v>298</v>
      </c>
      <c r="B298" s="15"/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3.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/>
      <c r="C301" s="11" t="s">
        <v>15</v>
      </c>
      <c r="D301" s="10" t="s">
        <v>30</v>
      </c>
    </row>
    <row r="302" spans="1:4" s="10" customFormat="1">
      <c r="A302" s="23">
        <v>302</v>
      </c>
      <c r="B302" s="15"/>
      <c r="C302" s="9" t="s">
        <v>16</v>
      </c>
    </row>
    <row r="303" spans="1:4" s="10" customFormat="1">
      <c r="A303" s="23">
        <v>303</v>
      </c>
      <c r="B303" s="15"/>
      <c r="C303" s="9" t="s">
        <v>17</v>
      </c>
    </row>
    <row r="304" spans="1:4" s="10" customFormat="1">
      <c r="A304" s="23">
        <v>304</v>
      </c>
      <c r="B304" s="15"/>
      <c r="C304" s="9" t="s">
        <v>18</v>
      </c>
    </row>
    <row r="305" spans="1:4" s="10" customFormat="1">
      <c r="A305" s="23">
        <v>305</v>
      </c>
      <c r="B305" s="15"/>
      <c r="C305" s="9" t="s">
        <v>19</v>
      </c>
    </row>
    <row r="306" spans="1:4" s="10" customFormat="1">
      <c r="A306" s="23">
        <v>306</v>
      </c>
      <c r="B306" s="15"/>
      <c r="C306" s="9" t="s">
        <v>20</v>
      </c>
    </row>
    <row r="307" spans="1:4" s="10" customFormat="1">
      <c r="A307" s="23">
        <v>307</v>
      </c>
      <c r="B307" s="15"/>
      <c r="C307" s="9" t="s">
        <v>21</v>
      </c>
    </row>
    <row r="308" spans="1:4" s="10" customFormat="1">
      <c r="A308" s="23">
        <v>308</v>
      </c>
      <c r="B308" s="15"/>
      <c r="C308" s="9" t="s">
        <v>22</v>
      </c>
    </row>
    <row r="309" spans="1:4" s="10" customFormat="1">
      <c r="A309" s="23">
        <v>309</v>
      </c>
      <c r="B309" s="15"/>
      <c r="C309" s="9" t="s">
        <v>23</v>
      </c>
    </row>
    <row r="310" spans="1:4" s="10" customFormat="1">
      <c r="A310" s="23">
        <v>310</v>
      </c>
      <c r="B310" s="15"/>
      <c r="C310" s="9" t="s">
        <v>24</v>
      </c>
    </row>
    <row r="311" spans="1:4" s="10" customFormat="1">
      <c r="A311" s="23">
        <v>311</v>
      </c>
      <c r="B311" s="15"/>
      <c r="C311" s="9" t="s">
        <v>38</v>
      </c>
    </row>
    <row r="312" spans="1:4" s="10" customFormat="1">
      <c r="A312" s="23">
        <v>312</v>
      </c>
      <c r="B312" s="15"/>
      <c r="C312" s="9" t="s">
        <v>39</v>
      </c>
    </row>
    <row r="313" spans="1:4" s="10" customFormat="1">
      <c r="A313" s="23">
        <v>313</v>
      </c>
      <c r="B313" s="15"/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3.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3.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3.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3.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3.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3.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3.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3.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243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3.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244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3.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245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3.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246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3.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247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3.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B496" s="19">
        <v>0</v>
      </c>
      <c r="C496" s="18" t="s">
        <v>15</v>
      </c>
      <c r="D496" s="19" t="s">
        <v>220</v>
      </c>
    </row>
    <row r="497" spans="1:4" s="19" customFormat="1">
      <c r="A497" s="23">
        <v>497</v>
      </c>
      <c r="B497" s="19">
        <v>0</v>
      </c>
      <c r="C497" s="18" t="s">
        <v>16</v>
      </c>
    </row>
    <row r="498" spans="1:4" s="19" customFormat="1">
      <c r="A498" s="23">
        <v>498</v>
      </c>
      <c r="B498" s="19">
        <v>0</v>
      </c>
      <c r="C498" s="18" t="s">
        <v>17</v>
      </c>
    </row>
    <row r="499" spans="1:4" s="19" customFormat="1">
      <c r="A499" s="23">
        <v>499</v>
      </c>
      <c r="B499" s="19">
        <v>0</v>
      </c>
      <c r="C499" s="18" t="s">
        <v>18</v>
      </c>
    </row>
    <row r="500" spans="1:4" s="19" customFormat="1">
      <c r="A500" s="23">
        <v>500</v>
      </c>
      <c r="B500" s="19">
        <v>0</v>
      </c>
      <c r="C500" s="18" t="s">
        <v>19</v>
      </c>
    </row>
    <row r="501" spans="1:4" s="19" customFormat="1">
      <c r="A501" s="23">
        <v>501</v>
      </c>
      <c r="B501" s="19">
        <v>0</v>
      </c>
      <c r="C501" s="18" t="s">
        <v>20</v>
      </c>
    </row>
    <row r="502" spans="1:4" s="19" customFormat="1">
      <c r="A502" s="23">
        <v>502</v>
      </c>
      <c r="B502" s="19">
        <v>0</v>
      </c>
      <c r="C502" s="18" t="s">
        <v>21</v>
      </c>
    </row>
    <row r="503" spans="1:4" s="19" customFormat="1">
      <c r="A503" s="23">
        <v>503</v>
      </c>
      <c r="B503" s="19">
        <v>0</v>
      </c>
      <c r="C503" s="18" t="s">
        <v>22</v>
      </c>
    </row>
    <row r="504" spans="1:4" s="19" customFormat="1">
      <c r="A504" s="23">
        <v>504</v>
      </c>
      <c r="C504" s="18" t="s">
        <v>23</v>
      </c>
    </row>
    <row r="505" spans="1:4" s="19" customFormat="1">
      <c r="A505" s="23">
        <v>505</v>
      </c>
      <c r="C505" s="18" t="s">
        <v>24</v>
      </c>
    </row>
    <row r="506" spans="1:4" s="19" customFormat="1">
      <c r="A506" s="23">
        <v>506</v>
      </c>
      <c r="B506" s="19" t="s">
        <v>645</v>
      </c>
      <c r="C506" s="18" t="s">
        <v>14</v>
      </c>
    </row>
    <row r="507" spans="1:4" s="19" customFormat="1">
      <c r="A507" s="23">
        <v>507</v>
      </c>
      <c r="B507" s="19" t="s">
        <v>640</v>
      </c>
      <c r="C507" s="18" t="s">
        <v>38</v>
      </c>
    </row>
    <row r="508" spans="1:4" s="19" customFormat="1">
      <c r="A508" s="23">
        <v>508</v>
      </c>
      <c r="B508" s="19" t="s">
        <v>639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3.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B511" s="19">
        <v>0</v>
      </c>
      <c r="C511" s="18" t="s">
        <v>15</v>
      </c>
      <c r="D511" s="19" t="s">
        <v>221</v>
      </c>
    </row>
    <row r="512" spans="1:4" s="19" customFormat="1">
      <c r="A512" s="23">
        <v>512</v>
      </c>
      <c r="B512" s="19">
        <v>0</v>
      </c>
      <c r="C512" s="18" t="s">
        <v>16</v>
      </c>
    </row>
    <row r="513" spans="1:4" s="19" customFormat="1">
      <c r="A513" s="23">
        <v>513</v>
      </c>
      <c r="B513" s="19">
        <v>0</v>
      </c>
      <c r="C513" s="18" t="s">
        <v>17</v>
      </c>
    </row>
    <row r="514" spans="1:4" s="19" customFormat="1">
      <c r="A514" s="23">
        <v>514</v>
      </c>
      <c r="B514" s="19">
        <v>0</v>
      </c>
      <c r="C514" s="18" t="s">
        <v>18</v>
      </c>
    </row>
    <row r="515" spans="1:4" s="19" customFormat="1">
      <c r="A515" s="23">
        <v>515</v>
      </c>
      <c r="B515" s="19">
        <v>0</v>
      </c>
      <c r="C515" s="18" t="s">
        <v>19</v>
      </c>
    </row>
    <row r="516" spans="1:4" s="19" customFormat="1">
      <c r="A516" s="23">
        <v>516</v>
      </c>
      <c r="B516" s="19">
        <v>0</v>
      </c>
      <c r="C516" s="18" t="s">
        <v>20</v>
      </c>
    </row>
    <row r="517" spans="1:4" s="19" customFormat="1">
      <c r="A517" s="23">
        <v>517</v>
      </c>
      <c r="B517" s="19">
        <v>0</v>
      </c>
      <c r="C517" s="18" t="s">
        <v>21</v>
      </c>
    </row>
    <row r="518" spans="1:4" s="19" customFormat="1">
      <c r="A518" s="23">
        <v>518</v>
      </c>
      <c r="B518" s="19">
        <v>0</v>
      </c>
      <c r="C518" s="18" t="s">
        <v>22</v>
      </c>
    </row>
    <row r="519" spans="1:4" s="19" customFormat="1">
      <c r="A519" s="23">
        <v>519</v>
      </c>
      <c r="C519" s="18" t="s">
        <v>23</v>
      </c>
    </row>
    <row r="520" spans="1:4" s="19" customFormat="1">
      <c r="A520" s="23">
        <v>520</v>
      </c>
      <c r="C520" s="18" t="s">
        <v>24</v>
      </c>
    </row>
    <row r="521" spans="1:4" s="19" customFormat="1">
      <c r="A521" s="23">
        <v>521</v>
      </c>
      <c r="B521" s="19" t="s">
        <v>645</v>
      </c>
      <c r="C521" s="18" t="s">
        <v>14</v>
      </c>
    </row>
    <row r="522" spans="1:4" s="19" customFormat="1">
      <c r="A522" s="23">
        <v>522</v>
      </c>
      <c r="B522" s="19" t="s">
        <v>643</v>
      </c>
      <c r="C522" s="18" t="s">
        <v>38</v>
      </c>
    </row>
    <row r="523" spans="1:4" s="19" customFormat="1">
      <c r="A523" s="23">
        <v>523</v>
      </c>
      <c r="B523" s="19" t="s">
        <v>639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3.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B526" s="19">
        <v>0</v>
      </c>
      <c r="C526" s="18" t="s">
        <v>15</v>
      </c>
      <c r="D526" s="19" t="s">
        <v>222</v>
      </c>
    </row>
    <row r="527" spans="1:4" s="19" customFormat="1">
      <c r="A527" s="23">
        <v>527</v>
      </c>
      <c r="B527" s="19">
        <v>0</v>
      </c>
      <c r="C527" s="18" t="s">
        <v>16</v>
      </c>
    </row>
    <row r="528" spans="1:4" s="19" customFormat="1">
      <c r="A528" s="23">
        <v>528</v>
      </c>
      <c r="B528" s="19">
        <v>0</v>
      </c>
      <c r="C528" s="18" t="s">
        <v>17</v>
      </c>
    </row>
    <row r="529" spans="1:4" s="19" customFormat="1">
      <c r="A529" s="23">
        <v>529</v>
      </c>
      <c r="B529" s="19">
        <v>0</v>
      </c>
      <c r="C529" s="18" t="s">
        <v>18</v>
      </c>
    </row>
    <row r="530" spans="1:4" s="19" customFormat="1">
      <c r="A530" s="23">
        <v>530</v>
      </c>
      <c r="B530" s="19">
        <v>0</v>
      </c>
      <c r="C530" s="18" t="s">
        <v>19</v>
      </c>
    </row>
    <row r="531" spans="1:4" s="19" customFormat="1">
      <c r="A531" s="23">
        <v>531</v>
      </c>
      <c r="B531" s="19">
        <v>0</v>
      </c>
      <c r="C531" s="18" t="s">
        <v>20</v>
      </c>
    </row>
    <row r="532" spans="1:4" s="19" customFormat="1">
      <c r="A532" s="23">
        <v>532</v>
      </c>
      <c r="B532" s="19">
        <v>0</v>
      </c>
      <c r="C532" s="18" t="s">
        <v>21</v>
      </c>
    </row>
    <row r="533" spans="1:4" s="19" customFormat="1">
      <c r="A533" s="23">
        <v>533</v>
      </c>
      <c r="B533" s="19">
        <v>0</v>
      </c>
      <c r="C533" s="18" t="s">
        <v>22</v>
      </c>
    </row>
    <row r="534" spans="1:4" s="19" customFormat="1">
      <c r="A534" s="23">
        <v>534</v>
      </c>
      <c r="C534" s="18" t="s">
        <v>23</v>
      </c>
    </row>
    <row r="535" spans="1:4" s="19" customFormat="1">
      <c r="A535" s="23">
        <v>535</v>
      </c>
      <c r="C535" s="18" t="s">
        <v>24</v>
      </c>
    </row>
    <row r="536" spans="1:4" s="19" customFormat="1">
      <c r="A536" s="23">
        <v>536</v>
      </c>
      <c r="B536" s="19" t="s">
        <v>645</v>
      </c>
      <c r="C536" s="18" t="s">
        <v>14</v>
      </c>
    </row>
    <row r="537" spans="1:4" s="19" customFormat="1">
      <c r="A537" s="23">
        <v>537</v>
      </c>
      <c r="B537" s="19" t="s">
        <v>644</v>
      </c>
      <c r="C537" s="18" t="s">
        <v>38</v>
      </c>
    </row>
    <row r="538" spans="1:4" s="19" customFormat="1">
      <c r="A538" s="23">
        <v>538</v>
      </c>
      <c r="B538" s="19" t="s">
        <v>639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3.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15</v>
      </c>
      <c r="D541" s="19" t="s">
        <v>223</v>
      </c>
    </row>
    <row r="542" spans="1:4" s="19" customFormat="1">
      <c r="A542" s="23">
        <v>542</v>
      </c>
      <c r="C542" s="18" t="s">
        <v>16</v>
      </c>
    </row>
    <row r="543" spans="1:4" s="19" customFormat="1">
      <c r="A543" s="23">
        <v>543</v>
      </c>
      <c r="C543" s="18" t="s">
        <v>17</v>
      </c>
    </row>
    <row r="544" spans="1:4" s="19" customFormat="1">
      <c r="A544" s="23">
        <v>544</v>
      </c>
      <c r="C544" s="18" t="s">
        <v>18</v>
      </c>
    </row>
    <row r="545" spans="1:4" s="19" customFormat="1">
      <c r="A545" s="23">
        <v>545</v>
      </c>
      <c r="C545" s="18" t="s">
        <v>19</v>
      </c>
    </row>
    <row r="546" spans="1:4" s="19" customFormat="1">
      <c r="A546" s="23">
        <v>546</v>
      </c>
      <c r="C546" s="18" t="s">
        <v>20</v>
      </c>
    </row>
    <row r="547" spans="1:4" s="19" customFormat="1">
      <c r="A547" s="23">
        <v>547</v>
      </c>
      <c r="C547" s="18" t="s">
        <v>21</v>
      </c>
    </row>
    <row r="548" spans="1:4" s="19" customFormat="1">
      <c r="A548" s="23">
        <v>548</v>
      </c>
      <c r="C548" s="18" t="s">
        <v>22</v>
      </c>
    </row>
    <row r="549" spans="1:4" s="19" customFormat="1">
      <c r="A549" s="23">
        <v>549</v>
      </c>
      <c r="C549" s="18" t="s">
        <v>23</v>
      </c>
    </row>
    <row r="550" spans="1:4" s="19" customFormat="1">
      <c r="A550" s="23">
        <v>550</v>
      </c>
      <c r="C550" s="18" t="s">
        <v>24</v>
      </c>
    </row>
    <row r="551" spans="1:4" s="19" customFormat="1">
      <c r="A551" s="23">
        <v>551</v>
      </c>
      <c r="C551" s="18" t="s">
        <v>14</v>
      </c>
    </row>
    <row r="552" spans="1:4" s="19" customFormat="1">
      <c r="A552" s="23">
        <v>552</v>
      </c>
      <c r="C552" s="18" t="s">
        <v>38</v>
      </c>
    </row>
    <row r="553" spans="1:4" s="19" customFormat="1">
      <c r="A553" s="23">
        <v>553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3.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3.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460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3.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461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3.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462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3.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463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3.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464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3.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B646" s="1" t="s">
        <v>230</v>
      </c>
      <c r="C646" s="12" t="s">
        <v>15</v>
      </c>
      <c r="D646" s="1" t="s">
        <v>151</v>
      </c>
    </row>
    <row r="647" spans="1:4" s="1" customFormat="1">
      <c r="A647" s="23">
        <v>647</v>
      </c>
      <c r="B647" s="1" t="s">
        <v>230</v>
      </c>
      <c r="C647" s="2" t="s">
        <v>16</v>
      </c>
    </row>
    <row r="648" spans="1:4" s="1" customFormat="1">
      <c r="A648" s="23">
        <v>648</v>
      </c>
      <c r="B648" s="1" t="s">
        <v>230</v>
      </c>
      <c r="C648" s="2" t="s">
        <v>17</v>
      </c>
    </row>
    <row r="649" spans="1:4" s="1" customFormat="1">
      <c r="A649" s="23">
        <v>649</v>
      </c>
      <c r="B649" s="1" t="s">
        <v>230</v>
      </c>
      <c r="C649" s="2" t="s">
        <v>18</v>
      </c>
    </row>
    <row r="650" spans="1:4" s="1" customFormat="1">
      <c r="A650" s="23">
        <v>650</v>
      </c>
      <c r="B650" s="1" t="s">
        <v>230</v>
      </c>
      <c r="C650" s="2" t="s">
        <v>19</v>
      </c>
    </row>
    <row r="651" spans="1:4" s="1" customFormat="1">
      <c r="A651" s="23">
        <v>651</v>
      </c>
      <c r="B651" s="1" t="s">
        <v>230</v>
      </c>
      <c r="C651" s="2" t="s">
        <v>20</v>
      </c>
    </row>
    <row r="652" spans="1:4" s="1" customFormat="1">
      <c r="A652" s="23">
        <v>652</v>
      </c>
      <c r="B652" s="1" t="s">
        <v>230</v>
      </c>
      <c r="C652" s="2" t="s">
        <v>21</v>
      </c>
    </row>
    <row r="653" spans="1:4" s="1" customFormat="1">
      <c r="A653" s="23">
        <v>653</v>
      </c>
      <c r="B653" s="1" t="s">
        <v>230</v>
      </c>
      <c r="C653" s="2" t="s">
        <v>22</v>
      </c>
    </row>
    <row r="654" spans="1:4" s="1" customFormat="1">
      <c r="A654" s="23">
        <v>654</v>
      </c>
      <c r="B654" s="1" t="s">
        <v>230</v>
      </c>
      <c r="C654" s="2" t="s">
        <v>23</v>
      </c>
    </row>
    <row r="655" spans="1:4" s="1" customFormat="1">
      <c r="A655" s="23">
        <v>655</v>
      </c>
      <c r="B655" s="1" t="s">
        <v>230</v>
      </c>
      <c r="C655" s="2" t="s">
        <v>24</v>
      </c>
    </row>
    <row r="656" spans="1:4" s="1" customFormat="1">
      <c r="A656" s="23">
        <v>656</v>
      </c>
      <c r="B656" s="1" t="s">
        <v>646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3.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B661" s="1" t="s">
        <v>230</v>
      </c>
      <c r="C661" s="12" t="s">
        <v>15</v>
      </c>
      <c r="D661" s="1" t="s">
        <v>152</v>
      </c>
    </row>
    <row r="662" spans="1:4" s="1" customFormat="1">
      <c r="A662" s="23">
        <v>662</v>
      </c>
      <c r="B662" s="1" t="s">
        <v>230</v>
      </c>
      <c r="C662" s="2" t="s">
        <v>16</v>
      </c>
    </row>
    <row r="663" spans="1:4" s="1" customFormat="1">
      <c r="A663" s="23">
        <v>663</v>
      </c>
      <c r="B663" s="1" t="s">
        <v>230</v>
      </c>
      <c r="C663" s="2" t="s">
        <v>17</v>
      </c>
    </row>
    <row r="664" spans="1:4" s="1" customFormat="1">
      <c r="A664" s="23">
        <v>664</v>
      </c>
      <c r="B664" s="1" t="s">
        <v>230</v>
      </c>
      <c r="C664" s="2" t="s">
        <v>18</v>
      </c>
    </row>
    <row r="665" spans="1:4" s="1" customFormat="1">
      <c r="A665" s="23">
        <v>665</v>
      </c>
      <c r="B665" s="1" t="s">
        <v>230</v>
      </c>
      <c r="C665" s="2" t="s">
        <v>19</v>
      </c>
    </row>
    <row r="666" spans="1:4" s="1" customFormat="1">
      <c r="A666" s="23">
        <v>666</v>
      </c>
      <c r="B666" s="1" t="s">
        <v>230</v>
      </c>
      <c r="C666" s="2" t="s">
        <v>20</v>
      </c>
    </row>
    <row r="667" spans="1:4" s="1" customFormat="1">
      <c r="A667" s="23">
        <v>667</v>
      </c>
      <c r="B667" s="1" t="s">
        <v>230</v>
      </c>
      <c r="C667" s="2" t="s">
        <v>21</v>
      </c>
    </row>
    <row r="668" spans="1:4" s="1" customFormat="1">
      <c r="A668" s="23">
        <v>668</v>
      </c>
      <c r="B668" s="1" t="s">
        <v>230</v>
      </c>
      <c r="C668" s="2" t="s">
        <v>22</v>
      </c>
    </row>
    <row r="669" spans="1:4" s="1" customFormat="1">
      <c r="A669" s="23">
        <v>669</v>
      </c>
      <c r="B669" s="1" t="s">
        <v>230</v>
      </c>
      <c r="C669" s="2" t="s">
        <v>23</v>
      </c>
    </row>
    <row r="670" spans="1:4" s="1" customFormat="1">
      <c r="A670" s="23">
        <v>670</v>
      </c>
      <c r="B670" s="1" t="s">
        <v>230</v>
      </c>
      <c r="C670" s="2" t="s">
        <v>24</v>
      </c>
    </row>
    <row r="671" spans="1:4" s="1" customFormat="1">
      <c r="A671" s="23">
        <v>671</v>
      </c>
      <c r="B671" s="1" t="s">
        <v>647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3.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B676" s="1" t="s">
        <v>230</v>
      </c>
      <c r="C676" s="12" t="s">
        <v>15</v>
      </c>
      <c r="D676" s="1" t="s">
        <v>153</v>
      </c>
    </row>
    <row r="677" spans="1:4" s="1" customFormat="1">
      <c r="A677" s="23">
        <v>677</v>
      </c>
      <c r="B677" s="1" t="s">
        <v>230</v>
      </c>
      <c r="C677" s="2" t="s">
        <v>16</v>
      </c>
    </row>
    <row r="678" spans="1:4" s="1" customFormat="1">
      <c r="A678" s="23">
        <v>678</v>
      </c>
      <c r="B678" s="1" t="s">
        <v>230</v>
      </c>
      <c r="C678" s="2" t="s">
        <v>17</v>
      </c>
    </row>
    <row r="679" spans="1:4" s="1" customFormat="1">
      <c r="A679" s="23">
        <v>679</v>
      </c>
      <c r="B679" s="1" t="s">
        <v>230</v>
      </c>
      <c r="C679" s="2" t="s">
        <v>18</v>
      </c>
    </row>
    <row r="680" spans="1:4" s="1" customFormat="1">
      <c r="A680" s="23">
        <v>680</v>
      </c>
      <c r="B680" s="1" t="s">
        <v>230</v>
      </c>
      <c r="C680" s="2" t="s">
        <v>19</v>
      </c>
    </row>
    <row r="681" spans="1:4" s="1" customFormat="1">
      <c r="A681" s="23">
        <v>681</v>
      </c>
      <c r="B681" s="1" t="s">
        <v>230</v>
      </c>
      <c r="C681" s="2" t="s">
        <v>20</v>
      </c>
    </row>
    <row r="682" spans="1:4" s="1" customFormat="1">
      <c r="A682" s="23">
        <v>682</v>
      </c>
      <c r="B682" s="1" t="s">
        <v>230</v>
      </c>
      <c r="C682" s="2" t="s">
        <v>21</v>
      </c>
    </row>
    <row r="683" spans="1:4" s="1" customFormat="1">
      <c r="A683" s="23">
        <v>683</v>
      </c>
      <c r="B683" s="1" t="s">
        <v>230</v>
      </c>
      <c r="C683" s="2" t="s">
        <v>22</v>
      </c>
    </row>
    <row r="684" spans="1:4" s="1" customFormat="1">
      <c r="A684" s="23">
        <v>684</v>
      </c>
      <c r="B684" s="1" t="s">
        <v>230</v>
      </c>
      <c r="C684" s="2" t="s">
        <v>23</v>
      </c>
    </row>
    <row r="685" spans="1:4" s="1" customFormat="1">
      <c r="A685" s="23">
        <v>685</v>
      </c>
      <c r="B685" s="1" t="s">
        <v>230</v>
      </c>
      <c r="C685" s="2" t="s">
        <v>24</v>
      </c>
    </row>
    <row r="686" spans="1:4" s="1" customFormat="1">
      <c r="A686" s="23">
        <v>686</v>
      </c>
      <c r="B686" s="1" t="s">
        <v>648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3.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B691" s="1" t="s">
        <v>230</v>
      </c>
      <c r="C691" s="12" t="s">
        <v>15</v>
      </c>
      <c r="D691" s="1" t="s">
        <v>154</v>
      </c>
    </row>
    <row r="692" spans="1:4" s="1" customFormat="1">
      <c r="A692" s="23">
        <v>692</v>
      </c>
      <c r="B692" s="1" t="s">
        <v>230</v>
      </c>
      <c r="C692" s="2" t="s">
        <v>16</v>
      </c>
    </row>
    <row r="693" spans="1:4" s="1" customFormat="1">
      <c r="A693" s="23">
        <v>693</v>
      </c>
      <c r="B693" s="1" t="s">
        <v>230</v>
      </c>
      <c r="C693" s="2" t="s">
        <v>17</v>
      </c>
    </row>
    <row r="694" spans="1:4" s="1" customFormat="1">
      <c r="A694" s="23">
        <v>694</v>
      </c>
      <c r="B694" s="1" t="s">
        <v>230</v>
      </c>
      <c r="C694" s="2" t="s">
        <v>18</v>
      </c>
    </row>
    <row r="695" spans="1:4" s="1" customFormat="1">
      <c r="A695" s="23">
        <v>695</v>
      </c>
      <c r="B695" s="1" t="s">
        <v>230</v>
      </c>
      <c r="C695" s="2" t="s">
        <v>19</v>
      </c>
    </row>
    <row r="696" spans="1:4" s="1" customFormat="1">
      <c r="A696" s="23">
        <v>696</v>
      </c>
      <c r="B696" s="1" t="s">
        <v>230</v>
      </c>
      <c r="C696" s="2" t="s">
        <v>20</v>
      </c>
    </row>
    <row r="697" spans="1:4" s="1" customFormat="1">
      <c r="A697" s="23">
        <v>697</v>
      </c>
      <c r="B697" s="1" t="s">
        <v>230</v>
      </c>
      <c r="C697" s="2" t="s">
        <v>21</v>
      </c>
    </row>
    <row r="698" spans="1:4" s="1" customFormat="1">
      <c r="A698" s="23">
        <v>698</v>
      </c>
      <c r="B698" s="1" t="s">
        <v>230</v>
      </c>
      <c r="C698" s="2" t="s">
        <v>22</v>
      </c>
    </row>
    <row r="699" spans="1:4" s="1" customFormat="1">
      <c r="A699" s="23">
        <v>699</v>
      </c>
      <c r="B699" s="1" t="s">
        <v>230</v>
      </c>
      <c r="C699" s="2" t="s">
        <v>23</v>
      </c>
    </row>
    <row r="700" spans="1:4" s="1" customFormat="1">
      <c r="A700" s="23">
        <v>700</v>
      </c>
      <c r="B700" s="1" t="s">
        <v>230</v>
      </c>
      <c r="C700" s="2" t="s">
        <v>24</v>
      </c>
    </row>
    <row r="701" spans="1:4" s="1" customFormat="1">
      <c r="A701" s="23">
        <v>701</v>
      </c>
      <c r="B701" s="1" t="s">
        <v>649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3.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B706" s="1" t="s">
        <v>230</v>
      </c>
      <c r="C706" s="12" t="s">
        <v>15</v>
      </c>
      <c r="D706" s="1" t="s">
        <v>155</v>
      </c>
    </row>
    <row r="707" spans="1:4" s="1" customFormat="1">
      <c r="A707" s="23">
        <v>707</v>
      </c>
      <c r="B707" s="1" t="s">
        <v>230</v>
      </c>
      <c r="C707" s="2" t="s">
        <v>16</v>
      </c>
    </row>
    <row r="708" spans="1:4" s="1" customFormat="1">
      <c r="A708" s="23">
        <v>708</v>
      </c>
      <c r="B708" s="1" t="s">
        <v>230</v>
      </c>
      <c r="C708" s="2" t="s">
        <v>17</v>
      </c>
    </row>
    <row r="709" spans="1:4" s="1" customFormat="1">
      <c r="A709" s="23">
        <v>709</v>
      </c>
      <c r="B709" s="1" t="s">
        <v>230</v>
      </c>
      <c r="C709" s="2" t="s">
        <v>18</v>
      </c>
    </row>
    <row r="710" spans="1:4" s="1" customFormat="1">
      <c r="A710" s="23">
        <v>710</v>
      </c>
      <c r="B710" s="1" t="s">
        <v>230</v>
      </c>
      <c r="C710" s="2" t="s">
        <v>19</v>
      </c>
    </row>
    <row r="711" spans="1:4" s="1" customFormat="1">
      <c r="A711" s="23">
        <v>711</v>
      </c>
      <c r="B711" s="1" t="s">
        <v>230</v>
      </c>
      <c r="C711" s="2" t="s">
        <v>20</v>
      </c>
    </row>
    <row r="712" spans="1:4" s="1" customFormat="1">
      <c r="A712" s="23">
        <v>712</v>
      </c>
      <c r="B712" s="1" t="s">
        <v>230</v>
      </c>
      <c r="C712" s="2" t="s">
        <v>21</v>
      </c>
    </row>
    <row r="713" spans="1:4" s="1" customFormat="1">
      <c r="A713" s="23">
        <v>713</v>
      </c>
      <c r="B713" s="1" t="s">
        <v>230</v>
      </c>
      <c r="C713" s="2" t="s">
        <v>22</v>
      </c>
    </row>
    <row r="714" spans="1:4" s="1" customFormat="1">
      <c r="A714" s="23">
        <v>714</v>
      </c>
      <c r="B714" s="1" t="s">
        <v>230</v>
      </c>
      <c r="C714" s="2" t="s">
        <v>23</v>
      </c>
    </row>
    <row r="715" spans="1:4" s="1" customFormat="1">
      <c r="A715" s="23">
        <v>715</v>
      </c>
      <c r="B715" s="1" t="s">
        <v>230</v>
      </c>
      <c r="C715" s="2" t="s">
        <v>24</v>
      </c>
    </row>
    <row r="716" spans="1:4" s="1" customFormat="1">
      <c r="A716" s="23">
        <v>716</v>
      </c>
      <c r="B716" s="1" t="s">
        <v>650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3.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B721" s="1" t="s">
        <v>230</v>
      </c>
      <c r="C721" s="12" t="s">
        <v>15</v>
      </c>
      <c r="D721" s="1" t="s">
        <v>156</v>
      </c>
    </row>
    <row r="722" spans="1:4" s="1" customFormat="1">
      <c r="A722" s="23">
        <v>722</v>
      </c>
      <c r="B722" s="1" t="s">
        <v>230</v>
      </c>
      <c r="C722" s="2" t="s">
        <v>16</v>
      </c>
    </row>
    <row r="723" spans="1:4" s="1" customFormat="1">
      <c r="A723" s="23">
        <v>723</v>
      </c>
      <c r="B723" s="1" t="s">
        <v>230</v>
      </c>
      <c r="C723" s="2" t="s">
        <v>17</v>
      </c>
    </row>
    <row r="724" spans="1:4" s="1" customFormat="1">
      <c r="A724" s="23">
        <v>724</v>
      </c>
      <c r="B724" s="1" t="s">
        <v>230</v>
      </c>
      <c r="C724" s="2" t="s">
        <v>18</v>
      </c>
    </row>
    <row r="725" spans="1:4" s="1" customFormat="1">
      <c r="A725" s="23">
        <v>725</v>
      </c>
      <c r="B725" s="1" t="s">
        <v>230</v>
      </c>
      <c r="C725" s="2" t="s">
        <v>19</v>
      </c>
    </row>
    <row r="726" spans="1:4" s="1" customFormat="1">
      <c r="A726" s="23">
        <v>726</v>
      </c>
      <c r="B726" s="1" t="s">
        <v>230</v>
      </c>
      <c r="C726" s="2" t="s">
        <v>20</v>
      </c>
    </row>
    <row r="727" spans="1:4" s="1" customFormat="1">
      <c r="A727" s="23">
        <v>727</v>
      </c>
      <c r="B727" s="1" t="s">
        <v>230</v>
      </c>
      <c r="C727" s="2" t="s">
        <v>21</v>
      </c>
    </row>
    <row r="728" spans="1:4" s="1" customFormat="1">
      <c r="A728" s="23">
        <v>728</v>
      </c>
      <c r="B728" s="1" t="s">
        <v>230</v>
      </c>
      <c r="C728" s="2" t="s">
        <v>22</v>
      </c>
    </row>
    <row r="729" spans="1:4" s="1" customFormat="1">
      <c r="A729" s="23">
        <v>729</v>
      </c>
      <c r="B729" s="1" t="s">
        <v>230</v>
      </c>
      <c r="C729" s="2" t="s">
        <v>23</v>
      </c>
    </row>
    <row r="730" spans="1:4" s="1" customFormat="1">
      <c r="A730" s="23">
        <v>730</v>
      </c>
      <c r="B730" s="1" t="s">
        <v>230</v>
      </c>
      <c r="C730" s="2" t="s">
        <v>24</v>
      </c>
    </row>
    <row r="731" spans="1:4" s="1" customFormat="1">
      <c r="A731" s="23">
        <v>731</v>
      </c>
      <c r="B731" s="1" t="s">
        <v>651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3.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B736" s="1" t="s">
        <v>230</v>
      </c>
      <c r="C736" s="12" t="s">
        <v>15</v>
      </c>
      <c r="D736" s="1" t="s">
        <v>157</v>
      </c>
    </row>
    <row r="737" spans="1:4" s="1" customFormat="1">
      <c r="A737" s="23">
        <v>737</v>
      </c>
      <c r="B737" s="1" t="s">
        <v>230</v>
      </c>
      <c r="C737" s="2" t="s">
        <v>16</v>
      </c>
    </row>
    <row r="738" spans="1:4" s="1" customFormat="1">
      <c r="A738" s="23">
        <v>738</v>
      </c>
      <c r="B738" s="1" t="s">
        <v>230</v>
      </c>
      <c r="C738" s="2" t="s">
        <v>17</v>
      </c>
    </row>
    <row r="739" spans="1:4" s="1" customFormat="1">
      <c r="A739" s="23">
        <v>739</v>
      </c>
      <c r="B739" s="1" t="s">
        <v>230</v>
      </c>
      <c r="C739" s="2" t="s">
        <v>18</v>
      </c>
    </row>
    <row r="740" spans="1:4" s="1" customFormat="1">
      <c r="A740" s="23">
        <v>740</v>
      </c>
      <c r="B740" s="1" t="s">
        <v>230</v>
      </c>
      <c r="C740" s="2" t="s">
        <v>19</v>
      </c>
    </row>
    <row r="741" spans="1:4" s="1" customFormat="1">
      <c r="A741" s="23">
        <v>741</v>
      </c>
      <c r="B741" s="1" t="s">
        <v>230</v>
      </c>
      <c r="C741" s="2" t="s">
        <v>20</v>
      </c>
    </row>
    <row r="742" spans="1:4" s="1" customFormat="1">
      <c r="A742" s="23">
        <v>742</v>
      </c>
      <c r="B742" s="1" t="s">
        <v>230</v>
      </c>
      <c r="C742" s="2" t="s">
        <v>21</v>
      </c>
    </row>
    <row r="743" spans="1:4" s="1" customFormat="1">
      <c r="A743" s="23">
        <v>743</v>
      </c>
      <c r="B743" s="1" t="s">
        <v>230</v>
      </c>
      <c r="C743" s="2" t="s">
        <v>22</v>
      </c>
    </row>
    <row r="744" spans="1:4" s="1" customFormat="1">
      <c r="A744" s="23">
        <v>744</v>
      </c>
      <c r="B744" s="1" t="s">
        <v>230</v>
      </c>
      <c r="C744" s="2" t="s">
        <v>23</v>
      </c>
    </row>
    <row r="745" spans="1:4" s="1" customFormat="1">
      <c r="A745" s="23">
        <v>745</v>
      </c>
      <c r="B745" s="1" t="s">
        <v>230</v>
      </c>
      <c r="C745" s="2" t="s">
        <v>24</v>
      </c>
    </row>
    <row r="746" spans="1:4" s="1" customFormat="1">
      <c r="A746" s="23">
        <v>746</v>
      </c>
      <c r="B746" s="1" t="s">
        <v>652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3.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B751" s="1" t="s">
        <v>230</v>
      </c>
      <c r="C751" s="12" t="s">
        <v>15</v>
      </c>
      <c r="D751" s="1" t="s">
        <v>158</v>
      </c>
    </row>
    <row r="752" spans="1:4" s="1" customFormat="1">
      <c r="A752" s="23">
        <v>752</v>
      </c>
      <c r="B752" s="1" t="s">
        <v>230</v>
      </c>
      <c r="C752" s="2" t="s">
        <v>16</v>
      </c>
    </row>
    <row r="753" spans="1:4" s="1" customFormat="1">
      <c r="A753" s="23">
        <v>753</v>
      </c>
      <c r="B753" s="1" t="s">
        <v>230</v>
      </c>
      <c r="C753" s="2" t="s">
        <v>17</v>
      </c>
    </row>
    <row r="754" spans="1:4" s="1" customFormat="1">
      <c r="A754" s="23">
        <v>754</v>
      </c>
      <c r="B754" s="1" t="s">
        <v>230</v>
      </c>
      <c r="C754" s="2" t="s">
        <v>18</v>
      </c>
    </row>
    <row r="755" spans="1:4" s="1" customFormat="1">
      <c r="A755" s="23">
        <v>755</v>
      </c>
      <c r="B755" s="1" t="s">
        <v>230</v>
      </c>
      <c r="C755" s="2" t="s">
        <v>19</v>
      </c>
    </row>
    <row r="756" spans="1:4" s="1" customFormat="1">
      <c r="A756" s="23">
        <v>756</v>
      </c>
      <c r="B756" s="1" t="s">
        <v>230</v>
      </c>
      <c r="C756" s="2" t="s">
        <v>20</v>
      </c>
    </row>
    <row r="757" spans="1:4" s="1" customFormat="1">
      <c r="A757" s="23">
        <v>757</v>
      </c>
      <c r="B757" s="1" t="s">
        <v>230</v>
      </c>
      <c r="C757" s="2" t="s">
        <v>21</v>
      </c>
    </row>
    <row r="758" spans="1:4" s="1" customFormat="1">
      <c r="A758" s="23">
        <v>758</v>
      </c>
      <c r="B758" s="1" t="s">
        <v>230</v>
      </c>
      <c r="C758" s="2" t="s">
        <v>22</v>
      </c>
    </row>
    <row r="759" spans="1:4" s="1" customFormat="1">
      <c r="A759" s="23">
        <v>759</v>
      </c>
      <c r="B759" s="1" t="s">
        <v>230</v>
      </c>
      <c r="C759" s="2" t="s">
        <v>23</v>
      </c>
    </row>
    <row r="760" spans="1:4" s="1" customFormat="1">
      <c r="A760" s="23">
        <v>760</v>
      </c>
      <c r="B760" s="1" t="s">
        <v>230</v>
      </c>
      <c r="C760" s="2" t="s">
        <v>24</v>
      </c>
    </row>
    <row r="761" spans="1:4" s="1" customFormat="1">
      <c r="A761" s="23">
        <v>761</v>
      </c>
      <c r="B761" s="1" t="s">
        <v>653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3.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3.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3.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3.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3.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3.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3.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3.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>
        <v>8</v>
      </c>
      <c r="C871" s="30" t="s">
        <v>451</v>
      </c>
      <c r="D871" s="29" t="s">
        <v>453</v>
      </c>
    </row>
    <row r="872" spans="1:4">
      <c r="A872" s="23">
        <v>872</v>
      </c>
      <c r="B872" s="29">
        <v>8</v>
      </c>
      <c r="C872" s="30" t="s">
        <v>452</v>
      </c>
      <c r="D872" s="29"/>
    </row>
    <row r="873" spans="1:4">
      <c r="A873" s="23">
        <v>873</v>
      </c>
      <c r="B873" s="29">
        <v>8</v>
      </c>
      <c r="C873" s="30" t="s">
        <v>451</v>
      </c>
      <c r="D873" s="29" t="s">
        <v>454</v>
      </c>
    </row>
    <row r="874" spans="1:4">
      <c r="A874" s="23">
        <v>874</v>
      </c>
      <c r="B874" s="29"/>
      <c r="C874" s="30" t="s">
        <v>452</v>
      </c>
      <c r="D874" s="29"/>
    </row>
    <row r="875" spans="1:4">
      <c r="A875" s="23">
        <v>875</v>
      </c>
      <c r="B875" s="29"/>
      <c r="C875" s="30" t="s">
        <v>451</v>
      </c>
      <c r="D875" s="29" t="s">
        <v>455</v>
      </c>
    </row>
    <row r="876" spans="1:4">
      <c r="A876" s="23">
        <v>876</v>
      </c>
      <c r="B876" s="29"/>
      <c r="C876" s="30" t="s">
        <v>452</v>
      </c>
      <c r="D876" s="29"/>
    </row>
    <row r="877" spans="1:4">
      <c r="A877" s="23">
        <v>877</v>
      </c>
      <c r="B877" s="29"/>
      <c r="C877" s="30" t="s">
        <v>451</v>
      </c>
      <c r="D877" s="29" t="s">
        <v>456</v>
      </c>
    </row>
    <row r="878" spans="1:4">
      <c r="A878" s="23">
        <v>878</v>
      </c>
      <c r="B878" s="29"/>
      <c r="C878" s="30" t="s">
        <v>452</v>
      </c>
      <c r="D878" s="29"/>
    </row>
    <row r="879" spans="1:4">
      <c r="A879" s="23">
        <v>879</v>
      </c>
      <c r="B879" s="29"/>
      <c r="C879" s="30" t="s">
        <v>451</v>
      </c>
      <c r="D879" s="29" t="s">
        <v>457</v>
      </c>
    </row>
    <row r="880" spans="1:4">
      <c r="A880" s="23">
        <v>880</v>
      </c>
      <c r="B880" s="29"/>
      <c r="C880" s="30" t="s">
        <v>452</v>
      </c>
      <c r="D880" s="29"/>
    </row>
    <row r="881" spans="1:4">
      <c r="A881" s="23">
        <v>881</v>
      </c>
      <c r="B881" s="29"/>
      <c r="C881" s="30" t="s">
        <v>451</v>
      </c>
      <c r="D881" s="29" t="s">
        <v>458</v>
      </c>
    </row>
    <row r="882" spans="1:4">
      <c r="A882" s="23">
        <v>882</v>
      </c>
      <c r="B882" s="29"/>
      <c r="C882" s="30" t="s">
        <v>452</v>
      </c>
      <c r="D882" s="29"/>
    </row>
    <row r="883" spans="1:4">
      <c r="A883" s="23">
        <v>883</v>
      </c>
      <c r="B883" s="29"/>
      <c r="C883" s="30" t="s">
        <v>451</v>
      </c>
      <c r="D883" s="29" t="s">
        <v>459</v>
      </c>
    </row>
    <row r="884" spans="1:4" ht="13.5" thickBot="1">
      <c r="A884" s="23">
        <v>884</v>
      </c>
      <c r="B884" s="31"/>
      <c r="C884" s="32" t="s">
        <v>452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/>
  </sheetViews>
  <sheetFormatPr defaultRowHeight="13"/>
  <sheetData>
    <row r="1" spans="1:1">
      <c r="A1" t="s">
        <v>627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1A1B-DAFC-4486-BDB2-9DAEECCE07D9}">
  <sheetPr codeName="Sheet6"/>
  <dimension ref="A1:X85"/>
  <sheetViews>
    <sheetView topLeftCell="A46" zoomScale="85" zoomScaleNormal="85" zoomScaleSheetLayoutView="70" workbookViewId="0">
      <selection activeCell="S63" sqref="S63"/>
    </sheetView>
  </sheetViews>
  <sheetFormatPr defaultColWidth="9" defaultRowHeight="22.5" customHeight="1"/>
  <cols>
    <col min="1" max="1" width="0.7265625" style="36" customWidth="1"/>
    <col min="2" max="2" width="10.36328125" style="36" customWidth="1"/>
    <col min="3" max="3" width="13.08984375" style="36" customWidth="1"/>
    <col min="4" max="7" width="7.453125" style="38" customWidth="1"/>
    <col min="8" max="17" width="7.453125" style="36" customWidth="1"/>
    <col min="18" max="18" width="0.6328125" style="36" customWidth="1"/>
    <col min="19" max="21" width="7.453125" style="36" customWidth="1"/>
    <col min="22" max="22" width="5.6328125" style="38" customWidth="1"/>
    <col min="23" max="23" width="9.453125" style="36" customWidth="1"/>
    <col min="24" max="24" width="1" style="36" customWidth="1"/>
    <col min="25" max="25" width="3.6328125" style="36" customWidth="1"/>
    <col min="26" max="16384" width="9" style="36"/>
  </cols>
  <sheetData>
    <row r="1" spans="1:23" ht="42" customHeight="1">
      <c r="D1" s="37" t="s">
        <v>305</v>
      </c>
      <c r="W1" s="39"/>
    </row>
    <row r="2" spans="1:23" ht="20.25" customHeight="1">
      <c r="A2" s="237" t="s">
        <v>40</v>
      </c>
      <c r="B2" s="238"/>
      <c r="C2" s="239"/>
      <c r="D2" s="142" t="s">
        <v>277</v>
      </c>
      <c r="E2" s="143"/>
      <c r="F2" s="143"/>
      <c r="G2" s="143"/>
      <c r="H2" s="143"/>
      <c r="I2" s="40"/>
      <c r="J2" s="40"/>
      <c r="K2" s="41"/>
      <c r="L2" s="143" t="s">
        <v>41</v>
      </c>
      <c r="M2" s="40"/>
      <c r="N2" s="40"/>
      <c r="O2" s="40"/>
      <c r="P2" s="42" t="s">
        <v>624</v>
      </c>
      <c r="Q2" s="40"/>
      <c r="R2" s="40"/>
      <c r="S2" s="40"/>
      <c r="T2" s="143"/>
      <c r="U2" s="143"/>
      <c r="V2" s="143"/>
      <c r="W2" s="144"/>
    </row>
    <row r="3" spans="1:23" ht="20.25" customHeight="1">
      <c r="A3" s="237" t="s">
        <v>42</v>
      </c>
      <c r="B3" s="238"/>
      <c r="C3" s="239"/>
      <c r="D3" s="142" t="s">
        <v>303</v>
      </c>
      <c r="E3" s="143"/>
      <c r="F3" s="143"/>
      <c r="G3" s="143"/>
      <c r="H3" s="143"/>
      <c r="I3" s="40"/>
      <c r="J3" s="40"/>
      <c r="K3" s="41"/>
      <c r="L3" s="143" t="s">
        <v>43</v>
      </c>
      <c r="M3" s="40"/>
      <c r="N3" s="40"/>
      <c r="O3" s="40"/>
      <c r="P3" s="42" t="s">
        <v>145</v>
      </c>
      <c r="Q3" s="40"/>
      <c r="R3" s="40"/>
      <c r="S3" s="40"/>
      <c r="T3" s="43"/>
      <c r="U3" s="143"/>
      <c r="V3" s="143"/>
      <c r="W3" s="144"/>
    </row>
    <row r="4" spans="1:23" ht="20.25" customHeight="1">
      <c r="A4" s="237" t="s">
        <v>9</v>
      </c>
      <c r="B4" s="238"/>
      <c r="C4" s="239"/>
      <c r="D4" s="44" t="s">
        <v>93</v>
      </c>
      <c r="E4" s="45"/>
      <c r="F4" s="45"/>
      <c r="G4" s="45"/>
      <c r="H4" s="45"/>
      <c r="I4" s="45"/>
      <c r="J4" s="40"/>
      <c r="K4" s="41"/>
      <c r="L4" s="143" t="s">
        <v>44</v>
      </c>
      <c r="M4" s="143"/>
      <c r="N4" s="40"/>
      <c r="O4" s="40"/>
      <c r="P4" s="46" t="s">
        <v>91</v>
      </c>
      <c r="Q4" s="143" t="s">
        <v>11</v>
      </c>
      <c r="R4" s="143"/>
      <c r="S4" s="143" t="s">
        <v>45</v>
      </c>
      <c r="T4" s="47" t="s">
        <v>94</v>
      </c>
      <c r="U4" s="48" t="s">
        <v>11</v>
      </c>
      <c r="V4" s="143"/>
      <c r="W4" s="144"/>
    </row>
    <row r="5" spans="1:23" ht="20.25" customHeight="1">
      <c r="A5" s="237" t="s">
        <v>10</v>
      </c>
      <c r="B5" s="238"/>
      <c r="C5" s="239"/>
      <c r="D5" s="49" t="s">
        <v>95</v>
      </c>
      <c r="E5" s="50"/>
      <c r="F5" s="50"/>
      <c r="G5" s="143"/>
      <c r="H5" s="143"/>
      <c r="I5" s="40"/>
      <c r="J5" s="40"/>
      <c r="K5" s="41"/>
      <c r="L5" s="143" t="s">
        <v>46</v>
      </c>
      <c r="M5" s="51"/>
      <c r="N5" s="51"/>
      <c r="O5" s="40"/>
      <c r="P5" s="44" t="s">
        <v>218</v>
      </c>
      <c r="Q5" s="47"/>
      <c r="R5" s="47"/>
      <c r="S5" s="47"/>
      <c r="T5" s="47"/>
      <c r="U5" s="47"/>
      <c r="V5" s="143"/>
      <c r="W5" s="144"/>
    </row>
    <row r="6" spans="1:23" ht="20.25" customHeight="1">
      <c r="A6" s="237" t="s">
        <v>47</v>
      </c>
      <c r="B6" s="238"/>
      <c r="C6" s="239"/>
      <c r="D6" s="44" t="s">
        <v>90</v>
      </c>
      <c r="E6" s="143" t="s">
        <v>48</v>
      </c>
      <c r="F6" s="47" t="s">
        <v>242</v>
      </c>
      <c r="G6" s="143" t="s">
        <v>12</v>
      </c>
      <c r="H6" s="40"/>
      <c r="I6" s="40"/>
      <c r="J6" s="40"/>
      <c r="K6" s="41"/>
      <c r="L6" s="143" t="s">
        <v>306</v>
      </c>
      <c r="M6" s="51"/>
      <c r="N6" s="51"/>
      <c r="O6" s="40"/>
      <c r="P6" s="142" t="s">
        <v>219</v>
      </c>
      <c r="Q6" s="143"/>
      <c r="R6" s="143"/>
      <c r="S6" s="143"/>
      <c r="T6" s="143"/>
      <c r="U6" s="143"/>
      <c r="V6" s="143"/>
      <c r="W6" s="144"/>
    </row>
    <row r="7" spans="1:23" ht="8.25" customHeight="1"/>
    <row r="8" spans="1:23" s="56" customFormat="1" ht="27" customHeight="1">
      <c r="A8" s="235" t="s">
        <v>1</v>
      </c>
      <c r="B8" s="240"/>
      <c r="C8" s="236"/>
      <c r="D8" s="52" t="s">
        <v>2</v>
      </c>
      <c r="E8" s="53" t="s">
        <v>307</v>
      </c>
      <c r="F8" s="54" t="s">
        <v>49</v>
      </c>
      <c r="G8" s="54" t="s">
        <v>50</v>
      </c>
      <c r="H8" s="52" t="s">
        <v>51</v>
      </c>
      <c r="I8" s="52" t="s">
        <v>52</v>
      </c>
      <c r="J8" s="52" t="s">
        <v>53</v>
      </c>
      <c r="K8" s="52" t="s">
        <v>54</v>
      </c>
      <c r="L8" s="52" t="s">
        <v>55</v>
      </c>
      <c r="M8" s="52" t="s">
        <v>56</v>
      </c>
      <c r="N8" s="52" t="s">
        <v>57</v>
      </c>
      <c r="O8" s="52" t="s">
        <v>58</v>
      </c>
      <c r="P8" s="52" t="s">
        <v>59</v>
      </c>
      <c r="Q8" s="52" t="s">
        <v>60</v>
      </c>
      <c r="R8" s="235" t="s">
        <v>61</v>
      </c>
      <c r="S8" s="236"/>
      <c r="T8" s="52" t="s">
        <v>62</v>
      </c>
      <c r="U8" s="52" t="s">
        <v>63</v>
      </c>
      <c r="V8" s="55" t="s">
        <v>64</v>
      </c>
      <c r="W8" s="52" t="s">
        <v>65</v>
      </c>
    </row>
    <row r="9" spans="1:23" ht="22.5" customHeight="1">
      <c r="A9" s="57" t="s">
        <v>308</v>
      </c>
      <c r="B9" s="58"/>
      <c r="C9" s="59" t="s">
        <v>110</v>
      </c>
      <c r="D9" s="60" t="s">
        <v>111</v>
      </c>
      <c r="E9" s="60" t="s">
        <v>112</v>
      </c>
      <c r="F9" s="60" t="s">
        <v>113</v>
      </c>
      <c r="G9" s="60" t="s">
        <v>225</v>
      </c>
      <c r="H9" s="33" t="s">
        <v>138</v>
      </c>
      <c r="I9" s="33" t="s">
        <v>102</v>
      </c>
      <c r="J9" s="33" t="s">
        <v>103</v>
      </c>
      <c r="K9" s="33" t="s">
        <v>104</v>
      </c>
      <c r="L9" s="33" t="s">
        <v>105</v>
      </c>
      <c r="M9" s="33" t="s">
        <v>309</v>
      </c>
      <c r="N9" s="33" t="s">
        <v>310</v>
      </c>
      <c r="O9" s="33" t="s">
        <v>311</v>
      </c>
      <c r="P9" s="33" t="s">
        <v>312</v>
      </c>
      <c r="Q9" s="33" t="s">
        <v>500</v>
      </c>
      <c r="R9" s="229" t="e">
        <f t="shared" ref="R9:R18" si="0">IF(C9&lt;&gt;"",AVERAGE(H9:Q9),"")</f>
        <v>#DIV/0!</v>
      </c>
      <c r="S9" s="230"/>
      <c r="T9" s="61">
        <f>IF(C9&lt;&gt;"",MAX(H9:Q9),"")</f>
        <v>0</v>
      </c>
      <c r="U9" s="61">
        <f>IF(C9&lt;&gt;"",MIN(H9:Q9),"")</f>
        <v>0</v>
      </c>
      <c r="V9" s="62" t="str">
        <f>IF(SUM(H9:Q9)&gt;0,IF(OR(MIN(H9:Q9)&lt;G9,MAX(H9:Q9)&gt;F9),"NG","G"),"")</f>
        <v/>
      </c>
      <c r="W9" s="63" t="s">
        <v>146</v>
      </c>
    </row>
    <row r="10" spans="1:23" ht="22.5" customHeight="1">
      <c r="A10" s="64"/>
      <c r="B10" s="65"/>
      <c r="C10" s="66" t="s">
        <v>114</v>
      </c>
      <c r="D10" s="67" t="s">
        <v>115</v>
      </c>
      <c r="E10" s="68" t="s">
        <v>116</v>
      </c>
      <c r="F10" s="71" t="s">
        <v>117</v>
      </c>
      <c r="G10" s="71" t="s">
        <v>226</v>
      </c>
      <c r="H10" s="34" t="s">
        <v>139</v>
      </c>
      <c r="I10" s="34" t="s">
        <v>140</v>
      </c>
      <c r="J10" s="34" t="s">
        <v>141</v>
      </c>
      <c r="K10" s="34" t="s">
        <v>142</v>
      </c>
      <c r="L10" s="34" t="s">
        <v>143</v>
      </c>
      <c r="M10" s="34" t="s">
        <v>313</v>
      </c>
      <c r="N10" s="34" t="s">
        <v>314</v>
      </c>
      <c r="O10" s="34" t="s">
        <v>315</v>
      </c>
      <c r="P10" s="34" t="s">
        <v>316</v>
      </c>
      <c r="Q10" s="34" t="s">
        <v>317</v>
      </c>
      <c r="R10" s="229" t="e">
        <f t="shared" si="0"/>
        <v>#DIV/0!</v>
      </c>
      <c r="S10" s="230"/>
      <c r="T10" s="61">
        <f t="shared" ref="T10:T18" si="1">IF(C10&lt;&gt;"",MAX(H10:Q10),"")</f>
        <v>0</v>
      </c>
      <c r="U10" s="61">
        <f t="shared" ref="U10:U28" si="2">IF(C10&lt;&gt;"",MIN(H10:Q10),"")</f>
        <v>0</v>
      </c>
      <c r="V10" s="62" t="str">
        <f t="shared" ref="V10:V28" si="3">IF(SUM(H10:Q10)&gt;0,IF(OR(MIN(H10:Q10)&lt;G10,MAX(H10:Q10)&gt;F10),"NG","G"),"")</f>
        <v/>
      </c>
      <c r="W10" s="69" t="s">
        <v>147</v>
      </c>
    </row>
    <row r="11" spans="1:23" ht="22.5" customHeight="1">
      <c r="A11" s="64"/>
      <c r="B11" s="65"/>
      <c r="C11" s="66" t="s">
        <v>122</v>
      </c>
      <c r="D11" s="67" t="s">
        <v>118</v>
      </c>
      <c r="E11" s="68" t="s">
        <v>119</v>
      </c>
      <c r="F11" s="71" t="s">
        <v>120</v>
      </c>
      <c r="G11" s="71" t="s">
        <v>227</v>
      </c>
      <c r="H11" s="34" t="s">
        <v>144</v>
      </c>
      <c r="I11" s="34" t="s">
        <v>106</v>
      </c>
      <c r="J11" s="34" t="s">
        <v>107</v>
      </c>
      <c r="K11" s="34" t="s">
        <v>108</v>
      </c>
      <c r="L11" s="34" t="s">
        <v>109</v>
      </c>
      <c r="M11" s="34" t="s">
        <v>318</v>
      </c>
      <c r="N11" s="34" t="s">
        <v>319</v>
      </c>
      <c r="O11" s="34" t="s">
        <v>320</v>
      </c>
      <c r="P11" s="34" t="s">
        <v>321</v>
      </c>
      <c r="Q11" s="34" t="s">
        <v>322</v>
      </c>
      <c r="R11" s="229" t="e">
        <f t="shared" si="0"/>
        <v>#DIV/0!</v>
      </c>
      <c r="S11" s="230"/>
      <c r="T11" s="61">
        <f t="shared" si="1"/>
        <v>0</v>
      </c>
      <c r="U11" s="61">
        <f t="shared" si="2"/>
        <v>0</v>
      </c>
      <c r="V11" s="62" t="str">
        <f t="shared" si="3"/>
        <v/>
      </c>
      <c r="W11" s="69" t="s">
        <v>148</v>
      </c>
    </row>
    <row r="12" spans="1:23" ht="22.5" customHeight="1">
      <c r="A12" s="64"/>
      <c r="B12" s="65"/>
      <c r="C12" s="66" t="s">
        <v>121</v>
      </c>
      <c r="D12" s="67" t="s">
        <v>123</v>
      </c>
      <c r="E12" s="68" t="s">
        <v>124</v>
      </c>
      <c r="F12" s="71" t="s">
        <v>125</v>
      </c>
      <c r="G12" s="71" t="s">
        <v>228</v>
      </c>
      <c r="H12" s="34" t="s">
        <v>298</v>
      </c>
      <c r="I12" s="34" t="s">
        <v>299</v>
      </c>
      <c r="J12" s="34" t="s">
        <v>300</v>
      </c>
      <c r="K12" s="34" t="s">
        <v>301</v>
      </c>
      <c r="L12" s="34" t="s">
        <v>302</v>
      </c>
      <c r="M12" s="34" t="s">
        <v>323</v>
      </c>
      <c r="N12" s="34" t="s">
        <v>324</v>
      </c>
      <c r="O12" s="34" t="s">
        <v>325</v>
      </c>
      <c r="P12" s="34" t="s">
        <v>326</v>
      </c>
      <c r="Q12" s="34" t="s">
        <v>327</v>
      </c>
      <c r="R12" s="229" t="e">
        <f>IF(C12&lt;&gt;"",AVERAGE(H12:Q12),"")</f>
        <v>#DIV/0!</v>
      </c>
      <c r="S12" s="230"/>
      <c r="T12" s="61">
        <f t="shared" si="1"/>
        <v>0</v>
      </c>
      <c r="U12" s="61">
        <f t="shared" si="2"/>
        <v>0</v>
      </c>
      <c r="V12" s="62" t="str">
        <f t="shared" si="3"/>
        <v/>
      </c>
      <c r="W12" s="69" t="s">
        <v>149</v>
      </c>
    </row>
    <row r="13" spans="1:23" ht="22.5" customHeight="1">
      <c r="A13" s="64"/>
      <c r="B13" s="65"/>
      <c r="C13" s="66" t="s">
        <v>465</v>
      </c>
      <c r="D13" s="67" t="s">
        <v>466</v>
      </c>
      <c r="E13" s="68" t="s">
        <v>467</v>
      </c>
      <c r="F13" s="71" t="s">
        <v>468</v>
      </c>
      <c r="G13" s="71" t="s">
        <v>469</v>
      </c>
      <c r="H13" s="34" t="s">
        <v>501</v>
      </c>
      <c r="I13" s="34" t="s">
        <v>502</v>
      </c>
      <c r="J13" s="34" t="s">
        <v>503</v>
      </c>
      <c r="K13" s="34" t="s">
        <v>504</v>
      </c>
      <c r="L13" s="34" t="s">
        <v>505</v>
      </c>
      <c r="M13" s="34" t="s">
        <v>506</v>
      </c>
      <c r="N13" s="34" t="s">
        <v>507</v>
      </c>
      <c r="O13" s="34" t="s">
        <v>508</v>
      </c>
      <c r="P13" s="34" t="s">
        <v>509</v>
      </c>
      <c r="Q13" s="34" t="s">
        <v>510</v>
      </c>
      <c r="R13" s="229" t="e">
        <f t="shared" ref="R13:R16" si="4">IF(C13&lt;&gt;"",AVERAGE(H13:Q13),"")</f>
        <v>#DIV/0!</v>
      </c>
      <c r="S13" s="230"/>
      <c r="T13" s="61">
        <f t="shared" si="1"/>
        <v>0</v>
      </c>
      <c r="U13" s="61">
        <f t="shared" si="2"/>
        <v>0</v>
      </c>
      <c r="V13" s="62" t="str">
        <f t="shared" si="3"/>
        <v/>
      </c>
      <c r="W13" s="69" t="s">
        <v>561</v>
      </c>
    </row>
    <row r="14" spans="1:23" ht="22.5" customHeight="1">
      <c r="A14" s="64"/>
      <c r="B14" s="65"/>
      <c r="C14" s="66" t="s">
        <v>470</v>
      </c>
      <c r="D14" s="67" t="s">
        <v>471</v>
      </c>
      <c r="E14" s="68" t="s">
        <v>472</v>
      </c>
      <c r="F14" s="71" t="s">
        <v>473</v>
      </c>
      <c r="G14" s="71" t="s">
        <v>474</v>
      </c>
      <c r="H14" s="34" t="s">
        <v>511</v>
      </c>
      <c r="I14" s="34" t="s">
        <v>512</v>
      </c>
      <c r="J14" s="34" t="s">
        <v>513</v>
      </c>
      <c r="K14" s="34" t="s">
        <v>514</v>
      </c>
      <c r="L14" s="34" t="s">
        <v>515</v>
      </c>
      <c r="M14" s="34" t="s">
        <v>516</v>
      </c>
      <c r="N14" s="34" t="s">
        <v>517</v>
      </c>
      <c r="O14" s="34" t="s">
        <v>518</v>
      </c>
      <c r="P14" s="34" t="s">
        <v>519</v>
      </c>
      <c r="Q14" s="34" t="s">
        <v>520</v>
      </c>
      <c r="R14" s="229" t="e">
        <f t="shared" si="4"/>
        <v>#DIV/0!</v>
      </c>
      <c r="S14" s="230"/>
      <c r="T14" s="61">
        <f t="shared" si="1"/>
        <v>0</v>
      </c>
      <c r="U14" s="61">
        <f t="shared" si="2"/>
        <v>0</v>
      </c>
      <c r="V14" s="62" t="str">
        <f t="shared" si="3"/>
        <v/>
      </c>
      <c r="W14" s="69" t="s">
        <v>562</v>
      </c>
    </row>
    <row r="15" spans="1:23" ht="22.5" customHeight="1">
      <c r="A15" s="64"/>
      <c r="B15" s="65"/>
      <c r="C15" s="66" t="s">
        <v>475</v>
      </c>
      <c r="D15" s="67" t="s">
        <v>476</v>
      </c>
      <c r="E15" s="68" t="s">
        <v>477</v>
      </c>
      <c r="F15" s="71" t="s">
        <v>478</v>
      </c>
      <c r="G15" s="71" t="s">
        <v>479</v>
      </c>
      <c r="H15" s="34" t="s">
        <v>521</v>
      </c>
      <c r="I15" s="34" t="s">
        <v>522</v>
      </c>
      <c r="J15" s="34" t="s">
        <v>523</v>
      </c>
      <c r="K15" s="34" t="s">
        <v>524</v>
      </c>
      <c r="L15" s="34" t="s">
        <v>525</v>
      </c>
      <c r="M15" s="34" t="s">
        <v>526</v>
      </c>
      <c r="N15" s="34" t="s">
        <v>527</v>
      </c>
      <c r="O15" s="34" t="s">
        <v>528</v>
      </c>
      <c r="P15" s="34" t="s">
        <v>529</v>
      </c>
      <c r="Q15" s="34" t="s">
        <v>530</v>
      </c>
      <c r="R15" s="229" t="e">
        <f t="shared" si="4"/>
        <v>#DIV/0!</v>
      </c>
      <c r="S15" s="230"/>
      <c r="T15" s="61">
        <f t="shared" si="1"/>
        <v>0</v>
      </c>
      <c r="U15" s="61">
        <f t="shared" si="2"/>
        <v>0</v>
      </c>
      <c r="V15" s="62" t="str">
        <f t="shared" si="3"/>
        <v/>
      </c>
      <c r="W15" s="69" t="s">
        <v>563</v>
      </c>
    </row>
    <row r="16" spans="1:23" ht="22.5" customHeight="1">
      <c r="A16" s="64"/>
      <c r="B16" s="65"/>
      <c r="C16" s="66" t="s">
        <v>480</v>
      </c>
      <c r="D16" s="67" t="s">
        <v>481</v>
      </c>
      <c r="E16" s="68" t="s">
        <v>482</v>
      </c>
      <c r="F16" s="71" t="s">
        <v>483</v>
      </c>
      <c r="G16" s="71" t="s">
        <v>484</v>
      </c>
      <c r="H16" s="34" t="s">
        <v>531</v>
      </c>
      <c r="I16" s="34" t="s">
        <v>532</v>
      </c>
      <c r="J16" s="34" t="s">
        <v>533</v>
      </c>
      <c r="K16" s="34" t="s">
        <v>534</v>
      </c>
      <c r="L16" s="34" t="s">
        <v>535</v>
      </c>
      <c r="M16" s="34" t="s">
        <v>536</v>
      </c>
      <c r="N16" s="34" t="s">
        <v>537</v>
      </c>
      <c r="O16" s="34" t="s">
        <v>538</v>
      </c>
      <c r="P16" s="34" t="s">
        <v>539</v>
      </c>
      <c r="Q16" s="34" t="s">
        <v>540</v>
      </c>
      <c r="R16" s="229" t="e">
        <f t="shared" si="4"/>
        <v>#DIV/0!</v>
      </c>
      <c r="S16" s="230"/>
      <c r="T16" s="61">
        <f t="shared" si="1"/>
        <v>0</v>
      </c>
      <c r="U16" s="61">
        <f t="shared" si="2"/>
        <v>0</v>
      </c>
      <c r="V16" s="62" t="str">
        <f t="shared" si="3"/>
        <v/>
      </c>
      <c r="W16" s="69" t="s">
        <v>564</v>
      </c>
    </row>
    <row r="17" spans="1:23" ht="22.5" customHeight="1">
      <c r="A17" s="64"/>
      <c r="B17" s="65"/>
      <c r="C17" s="70" t="s">
        <v>485</v>
      </c>
      <c r="D17" s="67" t="s">
        <v>486</v>
      </c>
      <c r="E17" s="71" t="s">
        <v>487</v>
      </c>
      <c r="F17" s="71" t="s">
        <v>488</v>
      </c>
      <c r="G17" s="71" t="s">
        <v>489</v>
      </c>
      <c r="H17" s="34" t="s">
        <v>541</v>
      </c>
      <c r="I17" s="34" t="s">
        <v>542</v>
      </c>
      <c r="J17" s="34" t="s">
        <v>543</v>
      </c>
      <c r="K17" s="34" t="s">
        <v>544</v>
      </c>
      <c r="L17" s="34" t="s">
        <v>545</v>
      </c>
      <c r="M17" s="34" t="s">
        <v>546</v>
      </c>
      <c r="N17" s="34" t="s">
        <v>547</v>
      </c>
      <c r="O17" s="34" t="s">
        <v>548</v>
      </c>
      <c r="P17" s="34" t="s">
        <v>549</v>
      </c>
      <c r="Q17" s="34" t="s">
        <v>550</v>
      </c>
      <c r="R17" s="229" t="e">
        <f t="shared" si="0"/>
        <v>#DIV/0!</v>
      </c>
      <c r="S17" s="230"/>
      <c r="T17" s="61">
        <f t="shared" si="1"/>
        <v>0</v>
      </c>
      <c r="U17" s="61">
        <f t="shared" si="2"/>
        <v>0</v>
      </c>
      <c r="V17" s="62" t="str">
        <f t="shared" si="3"/>
        <v/>
      </c>
      <c r="W17" s="69" t="s">
        <v>565</v>
      </c>
    </row>
    <row r="18" spans="1:23" ht="22.5" customHeight="1">
      <c r="A18" s="64"/>
      <c r="B18" s="65"/>
      <c r="C18" s="66" t="s">
        <v>490</v>
      </c>
      <c r="D18" s="67" t="s">
        <v>491</v>
      </c>
      <c r="E18" s="71" t="s">
        <v>492</v>
      </c>
      <c r="F18" s="71" t="s">
        <v>493</v>
      </c>
      <c r="G18" s="71" t="s">
        <v>494</v>
      </c>
      <c r="H18" s="34" t="s">
        <v>551</v>
      </c>
      <c r="I18" s="34" t="s">
        <v>552</v>
      </c>
      <c r="J18" s="34" t="s">
        <v>553</v>
      </c>
      <c r="K18" s="34" t="s">
        <v>554</v>
      </c>
      <c r="L18" s="34" t="s">
        <v>555</v>
      </c>
      <c r="M18" s="34" t="s">
        <v>556</v>
      </c>
      <c r="N18" s="34" t="s">
        <v>557</v>
      </c>
      <c r="O18" s="34" t="s">
        <v>558</v>
      </c>
      <c r="P18" s="34" t="s">
        <v>559</v>
      </c>
      <c r="Q18" s="34" t="s">
        <v>560</v>
      </c>
      <c r="R18" s="229" t="e">
        <f t="shared" si="0"/>
        <v>#DIV/0!</v>
      </c>
      <c r="S18" s="230"/>
      <c r="T18" s="61">
        <f t="shared" si="1"/>
        <v>0</v>
      </c>
      <c r="U18" s="61">
        <f t="shared" si="2"/>
        <v>0</v>
      </c>
      <c r="V18" s="62" t="str">
        <f t="shared" si="3"/>
        <v/>
      </c>
      <c r="W18" s="69" t="s">
        <v>566</v>
      </c>
    </row>
    <row r="19" spans="1:23" ht="21.75" customHeight="1">
      <c r="A19" s="231" t="s">
        <v>81</v>
      </c>
      <c r="B19" s="232"/>
      <c r="C19" s="123" t="s">
        <v>248</v>
      </c>
      <c r="D19" s="67" t="s">
        <v>251</v>
      </c>
      <c r="E19" s="73" t="s">
        <v>252</v>
      </c>
      <c r="F19" s="67" t="s">
        <v>253</v>
      </c>
      <c r="G19" s="67" t="s">
        <v>262</v>
      </c>
      <c r="H19" s="34" t="s">
        <v>288</v>
      </c>
      <c r="I19" s="34" t="s">
        <v>289</v>
      </c>
      <c r="J19" s="34" t="s">
        <v>290</v>
      </c>
      <c r="K19" s="34" t="s">
        <v>291</v>
      </c>
      <c r="L19" s="34" t="s">
        <v>292</v>
      </c>
      <c r="M19" s="34" t="s">
        <v>328</v>
      </c>
      <c r="N19" s="34" t="s">
        <v>329</v>
      </c>
      <c r="O19" s="34" t="s">
        <v>330</v>
      </c>
      <c r="P19" s="34" t="s">
        <v>331</v>
      </c>
      <c r="Q19" s="34" t="s">
        <v>332</v>
      </c>
      <c r="R19" s="229" t="e">
        <f>IF(C19&lt;&gt;"",AVERAGE(H19:Q19),"")</f>
        <v>#DIV/0!</v>
      </c>
      <c r="S19" s="230"/>
      <c r="T19" s="61">
        <f>IF(C19&lt;&gt;"",MAX(H19:Q19),"")</f>
        <v>0</v>
      </c>
      <c r="U19" s="61">
        <f t="shared" si="2"/>
        <v>0</v>
      </c>
      <c r="V19" s="62" t="str">
        <f t="shared" si="3"/>
        <v/>
      </c>
      <c r="W19" s="63" t="s">
        <v>590</v>
      </c>
    </row>
    <row r="20" spans="1:23" ht="21.75" customHeight="1">
      <c r="A20" s="233"/>
      <c r="B20" s="234"/>
      <c r="C20" s="123" t="s">
        <v>249</v>
      </c>
      <c r="D20" s="67" t="s">
        <v>254</v>
      </c>
      <c r="E20" s="73" t="s">
        <v>255</v>
      </c>
      <c r="F20" s="67" t="s">
        <v>256</v>
      </c>
      <c r="G20" s="67" t="s">
        <v>263</v>
      </c>
      <c r="H20" s="34" t="s">
        <v>293</v>
      </c>
      <c r="I20" s="34" t="s">
        <v>294</v>
      </c>
      <c r="J20" s="34" t="s">
        <v>295</v>
      </c>
      <c r="K20" s="34" t="s">
        <v>296</v>
      </c>
      <c r="L20" s="34" t="s">
        <v>297</v>
      </c>
      <c r="M20" s="34" t="s">
        <v>333</v>
      </c>
      <c r="N20" s="34" t="s">
        <v>334</v>
      </c>
      <c r="O20" s="34" t="s">
        <v>335</v>
      </c>
      <c r="P20" s="34" t="s">
        <v>336</v>
      </c>
      <c r="Q20" s="34" t="s">
        <v>337</v>
      </c>
      <c r="R20" s="229" t="e">
        <f t="shared" ref="R20:R28" si="5">IF(C20&lt;&gt;"",AVERAGE(H20:Q20),"")</f>
        <v>#DIV/0!</v>
      </c>
      <c r="S20" s="230"/>
      <c r="T20" s="61">
        <f>IF(C20&lt;&gt;"",MAX(H20:Q20),"")</f>
        <v>0</v>
      </c>
      <c r="U20" s="61">
        <f t="shared" si="2"/>
        <v>0</v>
      </c>
      <c r="V20" s="62" t="str">
        <f t="shared" si="3"/>
        <v/>
      </c>
      <c r="W20" s="28" t="s">
        <v>260</v>
      </c>
    </row>
    <row r="21" spans="1:23" ht="21.75" customHeight="1">
      <c r="A21" s="233"/>
      <c r="B21" s="234"/>
      <c r="C21" s="123" t="s">
        <v>250</v>
      </c>
      <c r="D21" s="67" t="s">
        <v>257</v>
      </c>
      <c r="E21" s="73" t="s">
        <v>258</v>
      </c>
      <c r="F21" s="67" t="s">
        <v>259</v>
      </c>
      <c r="G21" s="67" t="s">
        <v>264</v>
      </c>
      <c r="H21" s="34" t="s">
        <v>166</v>
      </c>
      <c r="I21" s="34" t="s">
        <v>167</v>
      </c>
      <c r="J21" s="34" t="s">
        <v>168</v>
      </c>
      <c r="K21" s="34" t="s">
        <v>169</v>
      </c>
      <c r="L21" s="34" t="s">
        <v>170</v>
      </c>
      <c r="M21" s="35" t="s">
        <v>232</v>
      </c>
      <c r="N21" s="35" t="s">
        <v>338</v>
      </c>
      <c r="O21" s="35" t="s">
        <v>339</v>
      </c>
      <c r="P21" s="35" t="s">
        <v>340</v>
      </c>
      <c r="Q21" s="35" t="s">
        <v>341</v>
      </c>
      <c r="R21" s="229" t="e">
        <f t="shared" si="5"/>
        <v>#DIV/0!</v>
      </c>
      <c r="S21" s="230"/>
      <c r="T21" s="61">
        <f>IF(C21&lt;&gt;"",MAX(H21:Q21),"")</f>
        <v>0</v>
      </c>
      <c r="U21" s="61">
        <f t="shared" si="2"/>
        <v>0</v>
      </c>
      <c r="V21" s="62" t="str">
        <f t="shared" si="3"/>
        <v/>
      </c>
      <c r="W21" s="28" t="s">
        <v>261</v>
      </c>
    </row>
    <row r="22" spans="1:23" ht="21.75" customHeight="1">
      <c r="A22" s="233"/>
      <c r="B22" s="234"/>
      <c r="C22" s="123" t="s">
        <v>265</v>
      </c>
      <c r="D22" s="73" t="s">
        <v>267</v>
      </c>
      <c r="E22" s="73" t="s">
        <v>268</v>
      </c>
      <c r="F22" s="67" t="s">
        <v>271</v>
      </c>
      <c r="G22" s="67" t="s">
        <v>273</v>
      </c>
      <c r="H22" s="34" t="s">
        <v>171</v>
      </c>
      <c r="I22" s="34" t="s">
        <v>172</v>
      </c>
      <c r="J22" s="34" t="s">
        <v>173</v>
      </c>
      <c r="K22" s="34" t="s">
        <v>174</v>
      </c>
      <c r="L22" s="34" t="s">
        <v>175</v>
      </c>
      <c r="M22" s="34" t="s">
        <v>233</v>
      </c>
      <c r="N22" s="34" t="s">
        <v>342</v>
      </c>
      <c r="O22" s="34" t="s">
        <v>343</v>
      </c>
      <c r="P22" s="34" t="s">
        <v>344</v>
      </c>
      <c r="Q22" s="34" t="s">
        <v>345</v>
      </c>
      <c r="R22" s="229" t="e">
        <f t="shared" si="5"/>
        <v>#DIV/0!</v>
      </c>
      <c r="S22" s="230"/>
      <c r="T22" s="61">
        <f t="shared" ref="T22:T28" si="6">IF(C22&lt;&gt;"",MAX(H22:Q22),"")</f>
        <v>0</v>
      </c>
      <c r="U22" s="61">
        <f t="shared" si="2"/>
        <v>0</v>
      </c>
      <c r="V22" s="62" t="str">
        <f t="shared" si="3"/>
        <v/>
      </c>
      <c r="W22" s="28" t="s">
        <v>275</v>
      </c>
    </row>
    <row r="23" spans="1:23" ht="21.75" customHeight="1">
      <c r="A23" s="233"/>
      <c r="B23" s="234"/>
      <c r="C23" s="123" t="s">
        <v>266</v>
      </c>
      <c r="D23" s="73" t="s">
        <v>269</v>
      </c>
      <c r="E23" s="67" t="s">
        <v>270</v>
      </c>
      <c r="F23" s="67" t="s">
        <v>272</v>
      </c>
      <c r="G23" s="67" t="s">
        <v>274</v>
      </c>
      <c r="H23" s="34" t="s">
        <v>176</v>
      </c>
      <c r="I23" s="34" t="s">
        <v>177</v>
      </c>
      <c r="J23" s="34" t="s">
        <v>178</v>
      </c>
      <c r="K23" s="34" t="s">
        <v>179</v>
      </c>
      <c r="L23" s="34" t="s">
        <v>180</v>
      </c>
      <c r="M23" s="34" t="s">
        <v>234</v>
      </c>
      <c r="N23" s="34" t="s">
        <v>346</v>
      </c>
      <c r="O23" s="34" t="s">
        <v>347</v>
      </c>
      <c r="P23" s="34" t="s">
        <v>348</v>
      </c>
      <c r="Q23" s="34" t="s">
        <v>349</v>
      </c>
      <c r="R23" s="229" t="e">
        <f t="shared" si="5"/>
        <v>#DIV/0!</v>
      </c>
      <c r="S23" s="230"/>
      <c r="T23" s="61">
        <f t="shared" si="6"/>
        <v>0</v>
      </c>
      <c r="U23" s="61">
        <f t="shared" si="2"/>
        <v>0</v>
      </c>
      <c r="V23" s="62" t="str">
        <f t="shared" si="3"/>
        <v/>
      </c>
      <c r="W23" s="28" t="s">
        <v>276</v>
      </c>
    </row>
    <row r="24" spans="1:23" ht="21.75" customHeight="1">
      <c r="A24" s="233"/>
      <c r="B24" s="234"/>
      <c r="C24" s="123" t="s">
        <v>126</v>
      </c>
      <c r="D24" s="73" t="s">
        <v>127</v>
      </c>
      <c r="E24" s="73" t="s">
        <v>128</v>
      </c>
      <c r="F24" s="67" t="s">
        <v>129</v>
      </c>
      <c r="G24" s="67" t="s">
        <v>130</v>
      </c>
      <c r="H24" s="34" t="s">
        <v>181</v>
      </c>
      <c r="I24" s="34" t="s">
        <v>182</v>
      </c>
      <c r="J24" s="34" t="s">
        <v>183</v>
      </c>
      <c r="K24" s="34" t="s">
        <v>184</v>
      </c>
      <c r="L24" s="34" t="s">
        <v>185</v>
      </c>
      <c r="M24" s="34" t="s">
        <v>235</v>
      </c>
      <c r="N24" s="34" t="s">
        <v>350</v>
      </c>
      <c r="O24" s="34" t="s">
        <v>351</v>
      </c>
      <c r="P24" s="34" t="s">
        <v>352</v>
      </c>
      <c r="Q24" s="34" t="s">
        <v>353</v>
      </c>
      <c r="R24" s="229" t="e">
        <f t="shared" si="5"/>
        <v>#DIV/0!</v>
      </c>
      <c r="S24" s="230"/>
      <c r="T24" s="61">
        <f t="shared" si="6"/>
        <v>0</v>
      </c>
      <c r="U24" s="61">
        <f t="shared" si="2"/>
        <v>0</v>
      </c>
      <c r="V24" s="62" t="str">
        <f t="shared" si="3"/>
        <v/>
      </c>
      <c r="W24" s="28" t="s">
        <v>131</v>
      </c>
    </row>
    <row r="25" spans="1:23" ht="21.75" customHeight="1">
      <c r="A25" s="233"/>
      <c r="B25" s="234"/>
      <c r="C25" s="123" t="s">
        <v>354</v>
      </c>
      <c r="D25" s="67" t="s">
        <v>355</v>
      </c>
      <c r="E25" s="67" t="s">
        <v>356</v>
      </c>
      <c r="F25" s="67" t="s">
        <v>357</v>
      </c>
      <c r="G25" s="67" t="s">
        <v>132</v>
      </c>
      <c r="H25" s="34" t="s">
        <v>186</v>
      </c>
      <c r="I25" s="34" t="s">
        <v>187</v>
      </c>
      <c r="J25" s="34" t="s">
        <v>188</v>
      </c>
      <c r="K25" s="34" t="s">
        <v>189</v>
      </c>
      <c r="L25" s="34" t="s">
        <v>190</v>
      </c>
      <c r="M25" s="34" t="s">
        <v>236</v>
      </c>
      <c r="N25" s="34" t="s">
        <v>358</v>
      </c>
      <c r="O25" s="34" t="s">
        <v>359</v>
      </c>
      <c r="P25" s="34" t="s">
        <v>360</v>
      </c>
      <c r="Q25" s="34" t="s">
        <v>361</v>
      </c>
      <c r="R25" s="229" t="e">
        <f t="shared" si="5"/>
        <v>#DIV/0!</v>
      </c>
      <c r="S25" s="230"/>
      <c r="T25" s="61">
        <f t="shared" si="6"/>
        <v>0</v>
      </c>
      <c r="U25" s="61">
        <f t="shared" si="2"/>
        <v>0</v>
      </c>
      <c r="V25" s="62" t="str">
        <f t="shared" si="3"/>
        <v/>
      </c>
      <c r="W25" s="28" t="s">
        <v>133</v>
      </c>
    </row>
    <row r="26" spans="1:23" ht="21.75" customHeight="1">
      <c r="A26" s="233"/>
      <c r="B26" s="234"/>
      <c r="C26" s="123" t="s">
        <v>134</v>
      </c>
      <c r="D26" s="67" t="s">
        <v>96</v>
      </c>
      <c r="E26" s="67" t="s">
        <v>97</v>
      </c>
      <c r="F26" s="67" t="s">
        <v>98</v>
      </c>
      <c r="G26" s="67" t="s">
        <v>362</v>
      </c>
      <c r="H26" s="34" t="s">
        <v>191</v>
      </c>
      <c r="I26" s="34" t="s">
        <v>192</v>
      </c>
      <c r="J26" s="34" t="s">
        <v>193</v>
      </c>
      <c r="K26" s="34" t="s">
        <v>194</v>
      </c>
      <c r="L26" s="34" t="s">
        <v>195</v>
      </c>
      <c r="M26" s="34" t="s">
        <v>237</v>
      </c>
      <c r="N26" s="34" t="s">
        <v>363</v>
      </c>
      <c r="O26" s="34" t="s">
        <v>364</v>
      </c>
      <c r="P26" s="34" t="s">
        <v>365</v>
      </c>
      <c r="Q26" s="34" t="s">
        <v>366</v>
      </c>
      <c r="R26" s="229" t="e">
        <f t="shared" si="5"/>
        <v>#DIV/0!</v>
      </c>
      <c r="S26" s="230"/>
      <c r="T26" s="61">
        <f t="shared" si="6"/>
        <v>0</v>
      </c>
      <c r="U26" s="61">
        <f t="shared" si="2"/>
        <v>0</v>
      </c>
      <c r="V26" s="62" t="str">
        <f t="shared" si="3"/>
        <v/>
      </c>
      <c r="W26" s="28" t="s">
        <v>367</v>
      </c>
    </row>
    <row r="27" spans="1:23" ht="21.75" customHeight="1">
      <c r="A27" s="233"/>
      <c r="B27" s="234"/>
      <c r="C27" s="123" t="s">
        <v>135</v>
      </c>
      <c r="D27" s="67" t="s">
        <v>99</v>
      </c>
      <c r="E27" s="67" t="s">
        <v>100</v>
      </c>
      <c r="F27" s="67" t="s">
        <v>101</v>
      </c>
      <c r="G27" s="67" t="s">
        <v>136</v>
      </c>
      <c r="H27" s="34" t="s">
        <v>196</v>
      </c>
      <c r="I27" s="34" t="s">
        <v>197</v>
      </c>
      <c r="J27" s="34" t="s">
        <v>198</v>
      </c>
      <c r="K27" s="34" t="s">
        <v>199</v>
      </c>
      <c r="L27" s="34" t="s">
        <v>200</v>
      </c>
      <c r="M27" s="34" t="s">
        <v>238</v>
      </c>
      <c r="N27" s="34" t="s">
        <v>368</v>
      </c>
      <c r="O27" s="34" t="s">
        <v>369</v>
      </c>
      <c r="P27" s="34" t="s">
        <v>370</v>
      </c>
      <c r="Q27" s="34" t="s">
        <v>371</v>
      </c>
      <c r="R27" s="229" t="e">
        <f t="shared" si="5"/>
        <v>#DIV/0!</v>
      </c>
      <c r="S27" s="230"/>
      <c r="T27" s="61">
        <f t="shared" si="6"/>
        <v>0</v>
      </c>
      <c r="U27" s="61">
        <f t="shared" si="2"/>
        <v>0</v>
      </c>
      <c r="V27" s="62" t="str">
        <f>IF(SUM(H27:Q27)&gt;0,IF(OR(MIN(H27:Q27)&lt;G27,MAX(H27:Q27)&gt;F27),"NG","G"),"")</f>
        <v/>
      </c>
      <c r="W27" s="28" t="s">
        <v>137</v>
      </c>
    </row>
    <row r="28" spans="1:23" ht="21.75" customHeight="1">
      <c r="A28" s="233"/>
      <c r="B28" s="234"/>
      <c r="C28" s="123" t="s">
        <v>495</v>
      </c>
      <c r="D28" s="67" t="s">
        <v>496</v>
      </c>
      <c r="E28" s="67" t="s">
        <v>497</v>
      </c>
      <c r="F28" s="67" t="s">
        <v>498</v>
      </c>
      <c r="G28" s="67" t="s">
        <v>499</v>
      </c>
      <c r="H28" s="34" t="s">
        <v>568</v>
      </c>
      <c r="I28" s="34" t="s">
        <v>569</v>
      </c>
      <c r="J28" s="34" t="s">
        <v>570</v>
      </c>
      <c r="K28" s="34" t="s">
        <v>571</v>
      </c>
      <c r="L28" s="34" t="s">
        <v>572</v>
      </c>
      <c r="M28" s="34" t="s">
        <v>573</v>
      </c>
      <c r="N28" s="34" t="s">
        <v>574</v>
      </c>
      <c r="O28" s="34" t="s">
        <v>575</v>
      </c>
      <c r="P28" s="34" t="s">
        <v>576</v>
      </c>
      <c r="Q28" s="34" t="s">
        <v>577</v>
      </c>
      <c r="R28" s="229" t="e">
        <f t="shared" si="5"/>
        <v>#DIV/0!</v>
      </c>
      <c r="S28" s="230"/>
      <c r="T28" s="61">
        <f t="shared" si="6"/>
        <v>0</v>
      </c>
      <c r="U28" s="61">
        <f t="shared" si="2"/>
        <v>0</v>
      </c>
      <c r="V28" s="62" t="str">
        <f t="shared" si="3"/>
        <v/>
      </c>
      <c r="W28" s="28" t="s">
        <v>567</v>
      </c>
    </row>
    <row r="29" spans="1:23" ht="22.5" customHeight="1">
      <c r="A29" s="57"/>
      <c r="B29" s="225" t="s">
        <v>80</v>
      </c>
      <c r="C29" s="214" t="s">
        <v>206</v>
      </c>
      <c r="D29" s="226"/>
      <c r="E29" s="226"/>
      <c r="F29" s="226"/>
      <c r="G29" s="227"/>
      <c r="H29" s="125" t="s">
        <v>201</v>
      </c>
      <c r="I29" s="125" t="s">
        <v>202</v>
      </c>
      <c r="J29" s="125" t="s">
        <v>203</v>
      </c>
      <c r="K29" s="125" t="s">
        <v>204</v>
      </c>
      <c r="L29" s="125" t="s">
        <v>205</v>
      </c>
      <c r="M29" s="125" t="s">
        <v>239</v>
      </c>
      <c r="N29" s="125" t="s">
        <v>372</v>
      </c>
      <c r="O29" s="125" t="s">
        <v>373</v>
      </c>
      <c r="P29" s="125" t="s">
        <v>374</v>
      </c>
      <c r="Q29" s="125" t="s">
        <v>375</v>
      </c>
      <c r="R29" s="217"/>
      <c r="S29" s="218"/>
      <c r="T29" s="124"/>
      <c r="U29" s="124"/>
      <c r="V29" s="72" t="str">
        <f>IF(AND(H29="",I29="",J29="",K29="",L29="",M29="",N29="",O29="",P29="",Q29=""),"",IF(AND(H29="G",I29="G",J29="G",K29="G",L29="G",M29="G",N29="G",O29="G",P29="G",Q29="G"),"G","NG"))</f>
        <v>NG</v>
      </c>
      <c r="W29" s="74"/>
    </row>
    <row r="30" spans="1:23" ht="21" customHeight="1">
      <c r="A30" s="64"/>
      <c r="B30" s="225"/>
      <c r="C30" s="228" t="s">
        <v>212</v>
      </c>
      <c r="D30" s="215"/>
      <c r="E30" s="215"/>
      <c r="F30" s="215"/>
      <c r="G30" s="216"/>
      <c r="H30" s="125" t="s">
        <v>207</v>
      </c>
      <c r="I30" s="125" t="s">
        <v>208</v>
      </c>
      <c r="J30" s="125" t="s">
        <v>209</v>
      </c>
      <c r="K30" s="125" t="s">
        <v>210</v>
      </c>
      <c r="L30" s="125" t="s">
        <v>211</v>
      </c>
      <c r="M30" s="125" t="s">
        <v>240</v>
      </c>
      <c r="N30" s="125" t="s">
        <v>376</v>
      </c>
      <c r="O30" s="125" t="s">
        <v>377</v>
      </c>
      <c r="P30" s="125" t="s">
        <v>378</v>
      </c>
      <c r="Q30" s="125" t="s">
        <v>379</v>
      </c>
      <c r="R30" s="217"/>
      <c r="S30" s="218"/>
      <c r="T30" s="74"/>
      <c r="U30" s="74"/>
      <c r="V30" s="72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4"/>
    </row>
    <row r="31" spans="1:23" ht="22.5" customHeight="1">
      <c r="A31" s="64"/>
      <c r="B31" s="225"/>
      <c r="C31" s="228" t="s">
        <v>380</v>
      </c>
      <c r="D31" s="215"/>
      <c r="E31" s="215"/>
      <c r="F31" s="215"/>
      <c r="G31" s="216"/>
      <c r="H31" s="125" t="s">
        <v>213</v>
      </c>
      <c r="I31" s="125" t="s">
        <v>214</v>
      </c>
      <c r="J31" s="125" t="s">
        <v>215</v>
      </c>
      <c r="K31" s="125" t="s">
        <v>216</v>
      </c>
      <c r="L31" s="125" t="s">
        <v>217</v>
      </c>
      <c r="M31" s="125" t="s">
        <v>241</v>
      </c>
      <c r="N31" s="125" t="s">
        <v>381</v>
      </c>
      <c r="O31" s="125" t="s">
        <v>382</v>
      </c>
      <c r="P31" s="125" t="s">
        <v>383</v>
      </c>
      <c r="Q31" s="125" t="s">
        <v>384</v>
      </c>
      <c r="R31" s="217"/>
      <c r="S31" s="218"/>
      <c r="T31" s="74"/>
      <c r="U31" s="74"/>
      <c r="V31" s="72" t="str">
        <f t="shared" si="7"/>
        <v>NG</v>
      </c>
      <c r="W31" s="74"/>
    </row>
    <row r="32" spans="1:23" ht="22.5" customHeight="1">
      <c r="A32" s="64"/>
      <c r="B32" s="225"/>
      <c r="C32" s="214" t="s">
        <v>385</v>
      </c>
      <c r="D32" s="215"/>
      <c r="E32" s="215"/>
      <c r="F32" s="215"/>
      <c r="G32" s="216"/>
      <c r="H32" s="125" t="s">
        <v>386</v>
      </c>
      <c r="I32" s="125" t="s">
        <v>387</v>
      </c>
      <c r="J32" s="125" t="s">
        <v>388</v>
      </c>
      <c r="K32" s="125" t="s">
        <v>389</v>
      </c>
      <c r="L32" s="125" t="s">
        <v>390</v>
      </c>
      <c r="M32" s="125" t="s">
        <v>391</v>
      </c>
      <c r="N32" s="125" t="s">
        <v>392</v>
      </c>
      <c r="O32" s="125" t="s">
        <v>393</v>
      </c>
      <c r="P32" s="125" t="s">
        <v>394</v>
      </c>
      <c r="Q32" s="125" t="s">
        <v>395</v>
      </c>
      <c r="R32" s="217"/>
      <c r="S32" s="218"/>
      <c r="T32" s="75"/>
      <c r="U32" s="75"/>
      <c r="V32" s="72" t="str">
        <f t="shared" si="7"/>
        <v>NG</v>
      </c>
      <c r="W32" s="75"/>
    </row>
    <row r="33" spans="1:23" ht="22.5" customHeight="1">
      <c r="A33" s="64"/>
      <c r="B33" s="225"/>
      <c r="C33" s="214" t="s">
        <v>396</v>
      </c>
      <c r="D33" s="215"/>
      <c r="E33" s="215"/>
      <c r="F33" s="215"/>
      <c r="G33" s="216"/>
      <c r="H33" s="125" t="s">
        <v>397</v>
      </c>
      <c r="I33" s="125" t="s">
        <v>398</v>
      </c>
      <c r="J33" s="125" t="s">
        <v>399</v>
      </c>
      <c r="K33" s="125" t="s">
        <v>400</v>
      </c>
      <c r="L33" s="125" t="s">
        <v>401</v>
      </c>
      <c r="M33" s="125" t="s">
        <v>402</v>
      </c>
      <c r="N33" s="125" t="s">
        <v>403</v>
      </c>
      <c r="O33" s="125" t="s">
        <v>404</v>
      </c>
      <c r="P33" s="125" t="s">
        <v>405</v>
      </c>
      <c r="Q33" s="125" t="s">
        <v>406</v>
      </c>
      <c r="R33" s="217"/>
      <c r="S33" s="218"/>
      <c r="T33" s="75"/>
      <c r="U33" s="75"/>
      <c r="V33" s="72" t="str">
        <f t="shared" si="7"/>
        <v>NG</v>
      </c>
      <c r="W33" s="75"/>
    </row>
    <row r="34" spans="1:23" ht="22.5" customHeight="1">
      <c r="A34" s="64"/>
      <c r="B34" s="225"/>
      <c r="C34" s="214" t="s">
        <v>407</v>
      </c>
      <c r="D34" s="215"/>
      <c r="E34" s="215"/>
      <c r="F34" s="215"/>
      <c r="G34" s="216"/>
      <c r="H34" s="125" t="s">
        <v>408</v>
      </c>
      <c r="I34" s="125" t="s">
        <v>409</v>
      </c>
      <c r="J34" s="125" t="s">
        <v>410</v>
      </c>
      <c r="K34" s="125" t="s">
        <v>411</v>
      </c>
      <c r="L34" s="125" t="s">
        <v>412</v>
      </c>
      <c r="M34" s="125" t="s">
        <v>413</v>
      </c>
      <c r="N34" s="125" t="s">
        <v>414</v>
      </c>
      <c r="O34" s="125" t="s">
        <v>415</v>
      </c>
      <c r="P34" s="125" t="s">
        <v>416</v>
      </c>
      <c r="Q34" s="125" t="s">
        <v>417</v>
      </c>
      <c r="R34" s="217"/>
      <c r="S34" s="218"/>
      <c r="T34" s="76"/>
      <c r="U34" s="76"/>
      <c r="V34" s="72" t="str">
        <f t="shared" si="7"/>
        <v>NG</v>
      </c>
      <c r="W34" s="76"/>
    </row>
    <row r="35" spans="1:23" ht="22.5" customHeight="1">
      <c r="A35" s="64"/>
      <c r="B35" s="225"/>
      <c r="C35" s="214" t="s">
        <v>418</v>
      </c>
      <c r="D35" s="215"/>
      <c r="E35" s="215"/>
      <c r="F35" s="215"/>
      <c r="G35" s="216"/>
      <c r="H35" s="125" t="s">
        <v>419</v>
      </c>
      <c r="I35" s="125" t="s">
        <v>420</v>
      </c>
      <c r="J35" s="125" t="s">
        <v>421</v>
      </c>
      <c r="K35" s="125" t="s">
        <v>422</v>
      </c>
      <c r="L35" s="125" t="s">
        <v>423</v>
      </c>
      <c r="M35" s="125" t="s">
        <v>424</v>
      </c>
      <c r="N35" s="125" t="s">
        <v>425</v>
      </c>
      <c r="O35" s="125" t="s">
        <v>426</v>
      </c>
      <c r="P35" s="125" t="s">
        <v>427</v>
      </c>
      <c r="Q35" s="125" t="s">
        <v>428</v>
      </c>
      <c r="R35" s="217"/>
      <c r="S35" s="218"/>
      <c r="T35" s="75"/>
      <c r="U35" s="75"/>
      <c r="V35" s="72" t="str">
        <f t="shared" si="7"/>
        <v>NG</v>
      </c>
      <c r="W35" s="75"/>
    </row>
    <row r="36" spans="1:23" ht="22.5" customHeight="1">
      <c r="A36" s="64"/>
      <c r="B36" s="225"/>
      <c r="C36" s="214" t="s">
        <v>429</v>
      </c>
      <c r="D36" s="215"/>
      <c r="E36" s="215"/>
      <c r="F36" s="215"/>
      <c r="G36" s="216"/>
      <c r="H36" s="125" t="s">
        <v>430</v>
      </c>
      <c r="I36" s="125" t="s">
        <v>431</v>
      </c>
      <c r="J36" s="125" t="s">
        <v>432</v>
      </c>
      <c r="K36" s="125" t="s">
        <v>433</v>
      </c>
      <c r="L36" s="125" t="s">
        <v>434</v>
      </c>
      <c r="M36" s="125" t="s">
        <v>435</v>
      </c>
      <c r="N36" s="125" t="s">
        <v>436</v>
      </c>
      <c r="O36" s="125" t="s">
        <v>437</v>
      </c>
      <c r="P36" s="125" t="s">
        <v>438</v>
      </c>
      <c r="Q36" s="125" t="s">
        <v>439</v>
      </c>
      <c r="R36" s="217"/>
      <c r="S36" s="218"/>
      <c r="T36" s="75"/>
      <c r="U36" s="75"/>
      <c r="V36" s="72" t="str">
        <f t="shared" si="7"/>
        <v>NG</v>
      </c>
      <c r="W36" s="75"/>
    </row>
    <row r="37" spans="1:23" ht="22.5" customHeight="1">
      <c r="A37" s="64"/>
      <c r="B37" s="225"/>
      <c r="C37" s="214" t="s">
        <v>440</v>
      </c>
      <c r="D37" s="215"/>
      <c r="E37" s="215"/>
      <c r="F37" s="215"/>
      <c r="G37" s="216"/>
      <c r="H37" s="125" t="s">
        <v>441</v>
      </c>
      <c r="I37" s="125" t="s">
        <v>442</v>
      </c>
      <c r="J37" s="125" t="s">
        <v>443</v>
      </c>
      <c r="K37" s="125" t="s">
        <v>444</v>
      </c>
      <c r="L37" s="125" t="s">
        <v>445</v>
      </c>
      <c r="M37" s="125" t="s">
        <v>446</v>
      </c>
      <c r="N37" s="125" t="s">
        <v>447</v>
      </c>
      <c r="O37" s="125" t="s">
        <v>448</v>
      </c>
      <c r="P37" s="125" t="s">
        <v>449</v>
      </c>
      <c r="Q37" s="125" t="s">
        <v>450</v>
      </c>
      <c r="R37" s="217"/>
      <c r="S37" s="218"/>
      <c r="T37" s="75"/>
      <c r="U37" s="75"/>
      <c r="V37" s="72" t="str">
        <f t="shared" si="7"/>
        <v>NG</v>
      </c>
      <c r="W37" s="75"/>
    </row>
    <row r="38" spans="1:23" ht="22.5" customHeight="1">
      <c r="A38" s="77"/>
      <c r="B38" s="225"/>
      <c r="C38" s="214" t="s">
        <v>578</v>
      </c>
      <c r="D38" s="215"/>
      <c r="E38" s="215"/>
      <c r="F38" s="215"/>
      <c r="G38" s="216"/>
      <c r="H38" s="125" t="s">
        <v>579</v>
      </c>
      <c r="I38" s="125" t="s">
        <v>580</v>
      </c>
      <c r="J38" s="125" t="s">
        <v>581</v>
      </c>
      <c r="K38" s="125" t="s">
        <v>582</v>
      </c>
      <c r="L38" s="125" t="s">
        <v>583</v>
      </c>
      <c r="M38" s="125" t="s">
        <v>584</v>
      </c>
      <c r="N38" s="125" t="s">
        <v>585</v>
      </c>
      <c r="O38" s="125" t="s">
        <v>586</v>
      </c>
      <c r="P38" s="125" t="s">
        <v>587</v>
      </c>
      <c r="Q38" s="125" t="s">
        <v>588</v>
      </c>
      <c r="R38" s="217"/>
      <c r="S38" s="218"/>
      <c r="T38" s="75"/>
      <c r="U38" s="75"/>
      <c r="V38" s="72" t="str">
        <f>IF(AND(H38="",I38="",J38="",K38="",L38="",M38="",N38="",O38="",P38="",Q38=""),"",IF(AND(H38="G",I38="G",J38="G",K38="G",L38="G",M38="G",N38="G",O38="G",P38="G",Q38="G"),"G","NG"))</f>
        <v>NG</v>
      </c>
      <c r="W38" s="75"/>
    </row>
    <row r="39" spans="1:23" ht="17.25" customHeight="1" thickBot="1">
      <c r="A39" s="78"/>
      <c r="B39" s="79" t="s">
        <v>79</v>
      </c>
      <c r="C39" s="80"/>
      <c r="D39" s="81"/>
      <c r="E39" s="82"/>
      <c r="F39" s="82"/>
      <c r="G39" s="82"/>
      <c r="H39" s="83"/>
      <c r="I39" s="83"/>
      <c r="J39" s="83"/>
      <c r="K39" s="83"/>
      <c r="L39" s="83"/>
      <c r="M39" s="80"/>
      <c r="N39" s="80"/>
      <c r="O39" s="80"/>
      <c r="Q39" s="83"/>
      <c r="R39" s="83"/>
      <c r="T39" s="83"/>
      <c r="U39" s="83"/>
      <c r="V39" s="82"/>
      <c r="W39" s="84"/>
    </row>
    <row r="40" spans="1:23" ht="18.75" customHeight="1" thickBot="1">
      <c r="A40" s="85"/>
      <c r="C40" s="80"/>
      <c r="D40" s="81"/>
      <c r="E40" s="82"/>
      <c r="F40" s="82"/>
      <c r="G40" s="82"/>
      <c r="H40" s="83"/>
      <c r="I40" s="83"/>
      <c r="J40" s="83"/>
      <c r="K40" s="83"/>
      <c r="L40" s="83"/>
      <c r="M40" s="80"/>
      <c r="O40" s="219" t="s">
        <v>66</v>
      </c>
      <c r="P40" s="220"/>
      <c r="Q40" s="221"/>
      <c r="R40" s="222" t="s">
        <v>67</v>
      </c>
      <c r="S40" s="223"/>
      <c r="T40" s="223"/>
      <c r="U40" s="224"/>
      <c r="V40" s="86" t="s">
        <v>64</v>
      </c>
      <c r="W40" s="84"/>
    </row>
    <row r="41" spans="1:23" ht="18.75" customHeight="1">
      <c r="A41" s="85"/>
      <c r="C41" s="80"/>
      <c r="D41" s="81"/>
      <c r="E41" s="82"/>
      <c r="F41" s="82"/>
      <c r="G41" s="82"/>
      <c r="H41" s="83"/>
      <c r="I41" s="83"/>
      <c r="J41" s="83"/>
      <c r="K41" s="83"/>
      <c r="L41" s="83"/>
      <c r="M41" s="80"/>
      <c r="O41" s="173" t="s">
        <v>68</v>
      </c>
      <c r="P41" s="174"/>
      <c r="Q41" s="175"/>
      <c r="R41" s="193" t="s">
        <v>69</v>
      </c>
      <c r="S41" s="194"/>
      <c r="T41" s="194"/>
      <c r="U41" s="195"/>
      <c r="V41" s="87" t="s">
        <v>230</v>
      </c>
      <c r="W41" s="84"/>
    </row>
    <row r="42" spans="1:23" ht="18.75" customHeight="1">
      <c r="A42" s="85"/>
      <c r="C42" s="80"/>
      <c r="D42" s="81"/>
      <c r="E42" s="82"/>
      <c r="F42" s="82"/>
      <c r="G42" s="82"/>
      <c r="H42" s="83"/>
      <c r="I42" s="83"/>
      <c r="J42" s="83"/>
      <c r="K42" s="83"/>
      <c r="L42" s="83"/>
      <c r="M42" s="80"/>
      <c r="O42" s="196" t="s">
        <v>70</v>
      </c>
      <c r="P42" s="197"/>
      <c r="Q42" s="198"/>
      <c r="R42" s="199" t="s">
        <v>71</v>
      </c>
      <c r="S42" s="200"/>
      <c r="T42" s="200"/>
      <c r="U42" s="201"/>
      <c r="V42" s="87" t="s">
        <v>230</v>
      </c>
      <c r="W42" s="84"/>
    </row>
    <row r="43" spans="1:23" ht="18.75" customHeight="1">
      <c r="A43" s="85"/>
      <c r="C43" s="80"/>
      <c r="D43" s="81"/>
      <c r="E43" s="82"/>
      <c r="F43" s="82"/>
      <c r="G43" s="82"/>
      <c r="H43" s="83"/>
      <c r="I43" s="83"/>
      <c r="J43" s="83"/>
      <c r="K43" s="83"/>
      <c r="L43" s="83"/>
      <c r="M43" s="80"/>
      <c r="O43" s="202" t="s">
        <v>591</v>
      </c>
      <c r="P43" s="203"/>
      <c r="Q43" s="204"/>
      <c r="R43" s="199" t="s">
        <v>72</v>
      </c>
      <c r="S43" s="200"/>
      <c r="T43" s="200"/>
      <c r="U43" s="201"/>
      <c r="V43" s="87" t="s">
        <v>230</v>
      </c>
      <c r="W43" s="84"/>
    </row>
    <row r="44" spans="1:23" ht="18.75" customHeight="1">
      <c r="A44" s="85"/>
      <c r="C44" s="80"/>
      <c r="D44" s="81"/>
      <c r="E44" s="82"/>
      <c r="F44" s="82"/>
      <c r="G44" s="82"/>
      <c r="H44" s="83"/>
      <c r="I44" s="83"/>
      <c r="J44" s="83"/>
      <c r="K44" s="83"/>
      <c r="L44" s="83"/>
      <c r="M44" s="80"/>
      <c r="O44" s="205"/>
      <c r="P44" s="206"/>
      <c r="Q44" s="207"/>
      <c r="R44" s="199" t="s">
        <v>73</v>
      </c>
      <c r="S44" s="200"/>
      <c r="T44" s="200"/>
      <c r="U44" s="201"/>
      <c r="V44" s="87" t="s">
        <v>230</v>
      </c>
      <c r="W44" s="84"/>
    </row>
    <row r="45" spans="1:23" ht="18.75" customHeight="1" thickBot="1">
      <c r="A45" s="85"/>
      <c r="C45" s="80"/>
      <c r="D45" s="81"/>
      <c r="E45" s="82"/>
      <c r="F45" s="82"/>
      <c r="G45" s="82"/>
      <c r="H45" s="83"/>
      <c r="I45" s="83"/>
      <c r="J45" s="83"/>
      <c r="K45" s="83"/>
      <c r="L45" s="83"/>
      <c r="M45" s="80"/>
      <c r="O45" s="208"/>
      <c r="P45" s="209"/>
      <c r="Q45" s="210"/>
      <c r="R45" s="211" t="s">
        <v>74</v>
      </c>
      <c r="S45" s="212"/>
      <c r="T45" s="212"/>
      <c r="U45" s="213"/>
      <c r="V45" s="88" t="s">
        <v>230</v>
      </c>
      <c r="W45" s="84"/>
    </row>
    <row r="46" spans="1:23" ht="4.5" customHeight="1" thickBot="1">
      <c r="A46" s="85"/>
      <c r="C46" s="80"/>
      <c r="D46" s="81"/>
      <c r="E46" s="82"/>
      <c r="F46" s="82"/>
      <c r="G46" s="82"/>
      <c r="H46" s="83"/>
      <c r="I46" s="83"/>
      <c r="J46" s="83"/>
      <c r="K46" s="83"/>
      <c r="L46" s="83"/>
      <c r="M46" s="80"/>
      <c r="N46" s="80"/>
      <c r="O46" s="80"/>
      <c r="Q46" s="83"/>
      <c r="R46" s="83"/>
      <c r="T46" s="83"/>
      <c r="U46" s="83"/>
      <c r="V46" s="82"/>
      <c r="W46" s="84"/>
    </row>
    <row r="47" spans="1:23" ht="11.25" customHeight="1">
      <c r="A47" s="85"/>
      <c r="C47" s="80"/>
      <c r="D47" s="81"/>
      <c r="E47" s="82"/>
      <c r="F47" s="82"/>
      <c r="G47" s="82"/>
      <c r="H47" s="83"/>
      <c r="I47" s="83"/>
      <c r="J47" s="83"/>
      <c r="K47" s="83"/>
      <c r="L47" s="83"/>
      <c r="M47" s="80"/>
      <c r="N47" s="80"/>
      <c r="O47" s="146" t="s">
        <v>75</v>
      </c>
      <c r="P47" s="147"/>
      <c r="Q47" s="148"/>
      <c r="R47" s="89"/>
      <c r="S47" s="90"/>
      <c r="T47" s="91"/>
      <c r="U47" s="92"/>
      <c r="V47" s="82"/>
      <c r="W47" s="84"/>
    </row>
    <row r="48" spans="1:23" ht="11.25" customHeight="1">
      <c r="A48" s="85"/>
      <c r="C48" s="80"/>
      <c r="D48" s="81"/>
      <c r="E48" s="82"/>
      <c r="F48" s="82"/>
      <c r="G48" s="82"/>
      <c r="H48" s="83"/>
      <c r="I48" s="83"/>
      <c r="J48" s="83"/>
      <c r="K48" s="83"/>
      <c r="L48" s="83"/>
      <c r="M48" s="80"/>
      <c r="N48" s="80"/>
      <c r="O48" s="149"/>
      <c r="P48" s="150"/>
      <c r="Q48" s="151"/>
      <c r="R48" s="93"/>
      <c r="T48" s="83"/>
      <c r="U48" s="84"/>
      <c r="V48" s="82"/>
      <c r="W48" s="84"/>
    </row>
    <row r="49" spans="1:24" ht="14.25" customHeight="1" thickBot="1">
      <c r="A49" s="85"/>
      <c r="C49" s="80"/>
      <c r="D49" s="81"/>
      <c r="E49" s="82"/>
      <c r="F49" s="82"/>
      <c r="G49" s="82"/>
      <c r="H49" s="83"/>
      <c r="I49" s="83"/>
      <c r="J49" s="83"/>
      <c r="K49" s="83"/>
      <c r="L49" s="83"/>
      <c r="M49" s="80"/>
      <c r="N49" s="80"/>
      <c r="O49" s="152"/>
      <c r="P49" s="153"/>
      <c r="Q49" s="154"/>
      <c r="R49" s="94"/>
      <c r="S49" s="95"/>
      <c r="T49" s="95"/>
      <c r="U49" s="96"/>
      <c r="V49" s="82"/>
      <c r="W49" s="84"/>
    </row>
    <row r="50" spans="1:24" ht="4.5" customHeight="1" thickBot="1">
      <c r="A50" s="97"/>
      <c r="B50" s="98"/>
      <c r="C50" s="99"/>
      <c r="D50" s="100"/>
      <c r="E50" s="101"/>
      <c r="F50" s="101"/>
      <c r="G50" s="101"/>
      <c r="H50" s="102"/>
      <c r="I50" s="102"/>
      <c r="J50" s="102"/>
      <c r="K50" s="102"/>
      <c r="L50" s="102"/>
      <c r="M50" s="99"/>
      <c r="N50" s="99"/>
      <c r="O50" s="99"/>
      <c r="P50" s="98"/>
      <c r="Q50" s="102"/>
      <c r="R50" s="102"/>
      <c r="S50" s="98"/>
      <c r="T50" s="102"/>
      <c r="U50" s="102"/>
      <c r="V50" s="101"/>
      <c r="W50" s="103"/>
    </row>
    <row r="51" spans="1:24" ht="3.75" customHeight="1" thickBot="1">
      <c r="A51" s="85"/>
      <c r="C51" s="80"/>
      <c r="D51" s="81"/>
      <c r="E51" s="82"/>
      <c r="F51" s="82"/>
      <c r="G51" s="82"/>
      <c r="H51" s="83"/>
      <c r="I51" s="83"/>
      <c r="J51" s="83"/>
      <c r="K51" s="83"/>
      <c r="L51" s="83"/>
      <c r="M51" s="80"/>
      <c r="N51" s="80"/>
      <c r="O51" s="80"/>
      <c r="Q51" s="83"/>
      <c r="R51" s="83"/>
      <c r="T51" s="83"/>
      <c r="U51" s="83"/>
      <c r="V51" s="82"/>
      <c r="W51" s="83"/>
    </row>
    <row r="52" spans="1:24" ht="15" customHeight="1">
      <c r="A52" s="104"/>
      <c r="B52" s="155" t="s">
        <v>13</v>
      </c>
      <c r="C52" s="156"/>
      <c r="D52" s="161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162"/>
      <c r="F52" s="163"/>
      <c r="G52" s="170" t="s">
        <v>4</v>
      </c>
      <c r="H52" s="171"/>
      <c r="I52" s="172"/>
      <c r="J52" s="179" t="s">
        <v>589</v>
      </c>
      <c r="K52" s="180"/>
      <c r="L52" s="180"/>
      <c r="M52" s="180"/>
      <c r="N52" s="180"/>
      <c r="O52" s="183" t="s">
        <v>65</v>
      </c>
      <c r="P52" s="184"/>
      <c r="Q52" s="105" t="s">
        <v>592</v>
      </c>
      <c r="R52" s="106"/>
      <c r="S52" s="136" t="s">
        <v>593</v>
      </c>
      <c r="T52" s="129"/>
      <c r="U52" s="137" t="s">
        <v>594</v>
      </c>
      <c r="V52" s="138" t="s">
        <v>594</v>
      </c>
      <c r="W52" s="130"/>
      <c r="X52" s="80"/>
    </row>
    <row r="53" spans="1:24" ht="15" customHeight="1">
      <c r="A53" s="85"/>
      <c r="B53" s="157"/>
      <c r="C53" s="158"/>
      <c r="D53" s="164"/>
      <c r="E53" s="165"/>
      <c r="F53" s="166"/>
      <c r="G53" s="173"/>
      <c r="H53" s="174"/>
      <c r="I53" s="175"/>
      <c r="J53" s="181"/>
      <c r="K53" s="182"/>
      <c r="L53" s="182"/>
      <c r="M53" s="182"/>
      <c r="N53" s="182"/>
      <c r="O53" s="185"/>
      <c r="P53" s="186"/>
      <c r="Q53" s="107" t="s">
        <v>595</v>
      </c>
      <c r="R53" s="108"/>
      <c r="S53" s="128" t="s">
        <v>610</v>
      </c>
      <c r="T53" s="126"/>
      <c r="U53" s="134" t="s">
        <v>604</v>
      </c>
      <c r="V53" s="126" t="s">
        <v>605</v>
      </c>
      <c r="W53" s="131"/>
      <c r="X53" s="80"/>
    </row>
    <row r="54" spans="1:24" ht="15" customHeight="1">
      <c r="A54" s="85"/>
      <c r="B54" s="157"/>
      <c r="C54" s="158"/>
      <c r="D54" s="164"/>
      <c r="E54" s="165"/>
      <c r="F54" s="166"/>
      <c r="G54" s="173"/>
      <c r="H54" s="174"/>
      <c r="I54" s="175"/>
      <c r="J54" s="181"/>
      <c r="K54" s="182"/>
      <c r="L54" s="182"/>
      <c r="M54" s="182"/>
      <c r="N54" s="182"/>
      <c r="O54" s="185"/>
      <c r="P54" s="186"/>
      <c r="Q54" s="107" t="s">
        <v>596</v>
      </c>
      <c r="R54" s="108"/>
      <c r="S54" s="128" t="s">
        <v>597</v>
      </c>
      <c r="T54" s="126"/>
      <c r="U54" s="134" t="s">
        <v>606</v>
      </c>
      <c r="V54" s="126" t="s">
        <v>607</v>
      </c>
      <c r="W54" s="131"/>
      <c r="X54" s="80"/>
    </row>
    <row r="55" spans="1:24" ht="15" customHeight="1">
      <c r="A55" s="85"/>
      <c r="B55" s="157"/>
      <c r="C55" s="158"/>
      <c r="D55" s="164"/>
      <c r="E55" s="165"/>
      <c r="F55" s="166"/>
      <c r="G55" s="173"/>
      <c r="H55" s="174"/>
      <c r="I55" s="175"/>
      <c r="J55" s="189" t="str">
        <f>CONCATENATE("*",J52,"*")</f>
        <v>*#8#*</v>
      </c>
      <c r="K55" s="190"/>
      <c r="L55" s="190"/>
      <c r="M55" s="190"/>
      <c r="N55" s="190"/>
      <c r="O55" s="185"/>
      <c r="P55" s="186"/>
      <c r="Q55" s="107" t="s">
        <v>600</v>
      </c>
      <c r="R55" s="108"/>
      <c r="S55" s="126" t="s">
        <v>615</v>
      </c>
      <c r="T55" s="126"/>
      <c r="U55" s="134" t="s">
        <v>608</v>
      </c>
      <c r="V55" s="126" t="s">
        <v>609</v>
      </c>
      <c r="W55" s="131"/>
      <c r="X55" s="80"/>
    </row>
    <row r="56" spans="1:24" ht="15" customHeight="1">
      <c r="A56" s="85"/>
      <c r="B56" s="157"/>
      <c r="C56" s="158"/>
      <c r="D56" s="164"/>
      <c r="E56" s="165"/>
      <c r="F56" s="166"/>
      <c r="G56" s="173"/>
      <c r="H56" s="174"/>
      <c r="I56" s="175"/>
      <c r="J56" s="189"/>
      <c r="K56" s="190"/>
      <c r="L56" s="190"/>
      <c r="M56" s="190"/>
      <c r="N56" s="190"/>
      <c r="O56" s="185"/>
      <c r="P56" s="186"/>
      <c r="Q56" s="107" t="s">
        <v>601</v>
      </c>
      <c r="R56" s="108"/>
      <c r="S56" s="128" t="s">
        <v>602</v>
      </c>
      <c r="T56" s="126"/>
      <c r="U56" s="139"/>
      <c r="V56" s="140"/>
      <c r="W56" s="131"/>
      <c r="X56" s="80"/>
    </row>
    <row r="57" spans="1:24" ht="15" customHeight="1">
      <c r="A57" s="85"/>
      <c r="B57" s="157"/>
      <c r="C57" s="158"/>
      <c r="D57" s="164"/>
      <c r="E57" s="165"/>
      <c r="F57" s="166"/>
      <c r="G57" s="173"/>
      <c r="H57" s="174"/>
      <c r="I57" s="175"/>
      <c r="J57" s="189"/>
      <c r="K57" s="190"/>
      <c r="L57" s="190"/>
      <c r="M57" s="190"/>
      <c r="N57" s="190"/>
      <c r="O57" s="185"/>
      <c r="P57" s="186"/>
      <c r="Q57" s="107" t="s">
        <v>598</v>
      </c>
      <c r="R57" s="108"/>
      <c r="S57" s="128" t="s">
        <v>599</v>
      </c>
      <c r="T57" s="126"/>
      <c r="U57" s="134"/>
      <c r="V57" s="126"/>
      <c r="W57" s="131"/>
      <c r="X57" s="80"/>
    </row>
    <row r="58" spans="1:24" ht="15" customHeight="1" thickBot="1">
      <c r="A58" s="97"/>
      <c r="B58" s="159"/>
      <c r="C58" s="160"/>
      <c r="D58" s="167"/>
      <c r="E58" s="168"/>
      <c r="F58" s="169"/>
      <c r="G58" s="176"/>
      <c r="H58" s="177"/>
      <c r="I58" s="178"/>
      <c r="J58" s="191"/>
      <c r="K58" s="192"/>
      <c r="L58" s="192"/>
      <c r="M58" s="192"/>
      <c r="N58" s="192"/>
      <c r="O58" s="187"/>
      <c r="P58" s="188"/>
      <c r="Q58" s="109" t="s">
        <v>603</v>
      </c>
      <c r="R58" s="127"/>
      <c r="S58" s="141" t="s">
        <v>616</v>
      </c>
      <c r="T58" s="132"/>
      <c r="U58" s="135"/>
      <c r="V58" s="132"/>
      <c r="W58" s="133"/>
      <c r="X58" s="80"/>
    </row>
    <row r="59" spans="1:24" ht="6" customHeight="1">
      <c r="A59" s="85"/>
      <c r="B59" s="110"/>
      <c r="C59" s="110"/>
      <c r="D59" s="111"/>
      <c r="E59" s="111"/>
      <c r="F59" s="111"/>
      <c r="G59" s="111"/>
      <c r="H59" s="112"/>
      <c r="I59" s="112"/>
      <c r="J59" s="112"/>
      <c r="K59" s="112"/>
      <c r="L59" s="112"/>
      <c r="M59" s="112"/>
      <c r="N59" s="113"/>
      <c r="O59" s="113"/>
      <c r="P59" s="113"/>
      <c r="Q59" s="80"/>
      <c r="R59" s="80"/>
      <c r="S59" s="80"/>
      <c r="T59" s="80"/>
      <c r="U59" s="114"/>
      <c r="V59" s="115"/>
      <c r="W59" s="116"/>
      <c r="X59" s="80"/>
    </row>
    <row r="60" spans="1:24" ht="15.5">
      <c r="A60" s="85"/>
      <c r="B60" s="117" t="s">
        <v>76</v>
      </c>
      <c r="W60" s="118"/>
    </row>
    <row r="61" spans="1:24" ht="9.75" customHeight="1">
      <c r="A61" s="85"/>
      <c r="B61" s="119"/>
      <c r="W61" s="118"/>
    </row>
    <row r="62" spans="1:24" ht="9.75" customHeight="1">
      <c r="A62" s="85"/>
      <c r="B62" s="119"/>
      <c r="W62" s="118"/>
    </row>
    <row r="63" spans="1:24" ht="9.75" customHeight="1">
      <c r="A63" s="85"/>
      <c r="W63" s="118"/>
    </row>
    <row r="64" spans="1:24" ht="9.75" customHeight="1">
      <c r="A64" s="85"/>
      <c r="W64" s="118"/>
    </row>
    <row r="65" spans="1:23" ht="9.75" customHeight="1">
      <c r="A65" s="85"/>
      <c r="W65" s="118"/>
    </row>
    <row r="66" spans="1:23" ht="9.75" customHeight="1">
      <c r="A66" s="85"/>
      <c r="W66" s="118"/>
    </row>
    <row r="67" spans="1:23" ht="9.75" customHeight="1">
      <c r="A67" s="85"/>
      <c r="W67" s="118"/>
    </row>
    <row r="68" spans="1:23" ht="9.75" customHeight="1">
      <c r="A68" s="85"/>
      <c r="W68" s="118"/>
    </row>
    <row r="69" spans="1:23" ht="9.75" customHeight="1">
      <c r="A69" s="85"/>
      <c r="W69" s="118"/>
    </row>
    <row r="70" spans="1:23" ht="9.75" customHeight="1">
      <c r="A70" s="85"/>
      <c r="W70" s="118"/>
    </row>
    <row r="71" spans="1:23" ht="9.75" customHeight="1">
      <c r="A71" s="85"/>
      <c r="W71" s="118"/>
    </row>
    <row r="72" spans="1:23" ht="9.75" customHeight="1">
      <c r="A72" s="85"/>
      <c r="W72" s="118"/>
    </row>
    <row r="73" spans="1:23" ht="9.75" customHeight="1">
      <c r="A73" s="85"/>
      <c r="W73" s="118"/>
    </row>
    <row r="74" spans="1:23" ht="9.75" customHeight="1">
      <c r="A74" s="85"/>
      <c r="W74" s="118"/>
    </row>
    <row r="75" spans="1:23" ht="9.75" customHeight="1">
      <c r="A75" s="85"/>
      <c r="W75" s="118"/>
    </row>
    <row r="76" spans="1:23" ht="9.75" customHeight="1">
      <c r="A76" s="85"/>
      <c r="W76" s="118"/>
    </row>
    <row r="77" spans="1:23" ht="9.75" customHeight="1">
      <c r="A77" s="85"/>
      <c r="W77" s="118"/>
    </row>
    <row r="78" spans="1:23" ht="9.75" customHeight="1">
      <c r="A78" s="85"/>
      <c r="W78" s="118"/>
    </row>
    <row r="79" spans="1:23" ht="9.75" customHeight="1">
      <c r="A79" s="85"/>
      <c r="W79" s="118"/>
    </row>
    <row r="80" spans="1:23" ht="9.75" customHeight="1">
      <c r="A80" s="85"/>
      <c r="W80" s="118"/>
    </row>
    <row r="81" spans="1:23" ht="9.75" customHeight="1">
      <c r="A81" s="85"/>
      <c r="W81" s="118"/>
    </row>
    <row r="82" spans="1:23" ht="9.75" customHeight="1">
      <c r="A82" s="85"/>
      <c r="W82" s="118"/>
    </row>
    <row r="83" spans="1:23" ht="9.75" customHeight="1">
      <c r="A83" s="85"/>
      <c r="W83" s="118"/>
    </row>
    <row r="84" spans="1:23" ht="9.75" customHeight="1" thickBot="1">
      <c r="A84" s="97"/>
      <c r="B84" s="98"/>
      <c r="C84" s="98"/>
      <c r="D84" s="120"/>
      <c r="E84" s="120"/>
      <c r="F84" s="120"/>
      <c r="G84" s="120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120"/>
      <c r="W84" s="121"/>
    </row>
    <row r="85" spans="1:23" ht="15.75" customHeight="1">
      <c r="W85" s="122" t="s">
        <v>77</v>
      </c>
    </row>
  </sheetData>
  <mergeCells count="66"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  <mergeCell ref="A19:B28"/>
    <mergeCell ref="R19:S19"/>
    <mergeCell ref="R20:S20"/>
    <mergeCell ref="R21:S21"/>
    <mergeCell ref="R22:S22"/>
    <mergeCell ref="R28:S28"/>
    <mergeCell ref="R14:S14"/>
    <mergeCell ref="R15:S15"/>
    <mergeCell ref="R16:S16"/>
    <mergeCell ref="R17:S17"/>
    <mergeCell ref="R18:S18"/>
    <mergeCell ref="R23:S23"/>
    <mergeCell ref="R24:S24"/>
    <mergeCell ref="R25:S25"/>
    <mergeCell ref="R26:S26"/>
    <mergeCell ref="R27:S27"/>
    <mergeCell ref="C36:G36"/>
    <mergeCell ref="R36:S36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37:S37"/>
    <mergeCell ref="C38:G38"/>
    <mergeCell ref="R38:S38"/>
    <mergeCell ref="O40:Q40"/>
    <mergeCell ref="R40:U40"/>
    <mergeCell ref="O41:Q41"/>
    <mergeCell ref="R41:U41"/>
    <mergeCell ref="O42:Q42"/>
    <mergeCell ref="R42:U42"/>
    <mergeCell ref="O43:Q45"/>
    <mergeCell ref="R43:U43"/>
    <mergeCell ref="R44:U44"/>
    <mergeCell ref="R45:U45"/>
    <mergeCell ref="O47:Q49"/>
    <mergeCell ref="B52:C58"/>
    <mergeCell ref="D52:F58"/>
    <mergeCell ref="G52:I58"/>
    <mergeCell ref="J52:N54"/>
    <mergeCell ref="O52:P58"/>
    <mergeCell ref="J55:N58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"/>
  <sheetData>
    <row r="1" spans="1:1">
      <c r="A1" t="s">
        <v>611</v>
      </c>
    </row>
    <row r="2" spans="1:1">
      <c r="A2" t="s">
        <v>612</v>
      </c>
    </row>
    <row r="3" spans="1:1">
      <c r="A3" t="s">
        <v>613</v>
      </c>
    </row>
    <row r="4" spans="1:1">
      <c r="A4" t="s">
        <v>614</v>
      </c>
    </row>
    <row r="5" spans="1:1">
      <c r="A5" t="s">
        <v>625</v>
      </c>
    </row>
    <row r="6" spans="1:1">
      <c r="A6" t="s">
        <v>617</v>
      </c>
    </row>
    <row r="7" spans="1:1">
      <c r="A7" t="s">
        <v>618</v>
      </c>
    </row>
    <row r="8" spans="1:1">
      <c r="A8" t="s">
        <v>619</v>
      </c>
    </row>
    <row r="9" spans="1:1">
      <c r="A9" t="s">
        <v>619</v>
      </c>
    </row>
    <row r="10" spans="1:1">
      <c r="A10" t="s">
        <v>620</v>
      </c>
    </row>
    <row r="11" spans="1:1">
      <c r="A11" t="s">
        <v>621</v>
      </c>
    </row>
    <row r="12" spans="1:1">
      <c r="A12" t="s">
        <v>622</v>
      </c>
    </row>
    <row r="13" spans="1:1">
      <c r="A13" t="s">
        <v>623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workbookViewId="0">
      <selection activeCell="H27" sqref="H27"/>
    </sheetView>
  </sheetViews>
  <sheetFormatPr defaultRowHeight="13"/>
  <sheetData>
    <row r="1" spans="1:1">
      <c r="A1" t="s">
        <v>626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2022-09-28T04:09:54Z</cp:lastPrinted>
  <dcterms:created xsi:type="dcterms:W3CDTF">2012-11-05T06:18:27Z</dcterms:created>
  <dcterms:modified xsi:type="dcterms:W3CDTF">2022-12-14T04:17:21Z</dcterms:modified>
</cp:coreProperties>
</file>