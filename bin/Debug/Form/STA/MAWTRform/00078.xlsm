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02560AA9-C373-4F47-BB8F-567FDE720B57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2" r:id="rId3"/>
    <sheet name="FromConfig" sheetId="62" r:id="rId4"/>
    <sheet name="FromAS400" sheetId="64" r:id="rId5"/>
    <sheet name="FromTextFileCtrl" sheetId="80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FORM!$A$1:$W$70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5" i="82" l="1"/>
  <c r="U29" i="82"/>
  <c r="C42" i="82" s="1"/>
  <c r="U28" i="82"/>
  <c r="U27" i="82"/>
  <c r="U26" i="82"/>
  <c r="U25" i="82"/>
  <c r="U24" i="82"/>
  <c r="U23" i="82"/>
  <c r="U22" i="82"/>
  <c r="U21" i="82"/>
  <c r="U20" i="82"/>
  <c r="U19" i="82"/>
  <c r="U18" i="82"/>
  <c r="T18" i="82"/>
  <c r="S18" i="82"/>
  <c r="R18" i="82"/>
  <c r="U17" i="82"/>
  <c r="T17" i="82"/>
  <c r="S17" i="82"/>
  <c r="R17" i="82"/>
  <c r="U16" i="82"/>
  <c r="T16" i="82"/>
  <c r="S16" i="82"/>
  <c r="R16" i="82"/>
  <c r="U15" i="82"/>
  <c r="T15" i="82"/>
  <c r="S15" i="82"/>
  <c r="R15" i="82"/>
  <c r="U14" i="82"/>
  <c r="T14" i="82"/>
  <c r="S14" i="82"/>
  <c r="R14" i="82"/>
  <c r="U13" i="82"/>
  <c r="T13" i="82"/>
  <c r="S13" i="82"/>
  <c r="R13" i="82"/>
  <c r="U12" i="82"/>
  <c r="T12" i="82"/>
  <c r="S12" i="82"/>
  <c r="R12" i="82"/>
  <c r="U11" i="82"/>
  <c r="T11" i="82"/>
  <c r="S11" i="82"/>
  <c r="R11" i="82"/>
  <c r="U10" i="82"/>
  <c r="T10" i="82"/>
  <c r="S10" i="82"/>
  <c r="R10" i="82"/>
  <c r="U9" i="82"/>
  <c r="T9" i="82"/>
  <c r="S9" i="82"/>
  <c r="R9" i="82"/>
</calcChain>
</file>

<file path=xl/sharedStrings.xml><?xml version="1.0" encoding="utf-8"?>
<sst xmlns="http://schemas.openxmlformats.org/spreadsheetml/2006/main" count="1411" uniqueCount="516">
  <si>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</si>
  <si>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</si>
  <si>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</si>
  <si>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</si>
  <si>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</si>
  <si>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</si>
  <si>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</si>
  <si>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</si>
  <si>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</si>
  <si>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</si>
  <si>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</si>
  <si>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</si>
  <si>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</si>
  <si>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</si>
  <si>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</si>
  <si>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</si>
  <si>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</si>
  <si>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</si>
  <si>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</si>
  <si>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</si>
  <si>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</si>
  <si>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</si>
  <si>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</si>
  <si>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</si>
  <si>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</si>
  <si>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</si>
  <si>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</si>
  <si>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</si>
  <si>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</si>
  <si>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</si>
  <si>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</si>
  <si>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</si>
  <si>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</si>
  <si>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</si>
  <si>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</si>
  <si>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</si>
  <si>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</si>
  <si>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</si>
  <si>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</si>
  <si>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</si>
  <si>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</si>
  <si>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</si>
  <si>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</si>
  <si>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</si>
  <si>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</si>
  <si>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</si>
  <si>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</si>
  <si>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</si>
  <si>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</si>
  <si>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</si>
  <si>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</si>
  <si>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</si>
  <si>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</si>
  <si>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</si>
  <si>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</si>
  <si>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</si>
  <si>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</si>
  <si>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</si>
  <si>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</si>
  <si>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</si>
  <si>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</si>
  <si>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</si>
  <si>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</si>
  <si>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</si>
  <si>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</si>
  <si>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</si>
  <si>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</si>
  <si>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</si>
  <si>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</si>
  <si>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</si>
  <si>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</si>
  <si>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</si>
  <si>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</si>
  <si>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</si>
  <si>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</si>
  <si>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</si>
  <si>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</si>
  <si>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</si>
  <si>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</si>
  <si>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</si>
  <si>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</si>
  <si>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</si>
  <si>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</si>
  <si>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</si>
  <si>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</si>
  <si>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</si>
  <si>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</si>
  <si>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</si>
  <si>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</si>
  <si>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</si>
  <si>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</si>
  <si>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</si>
  <si>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</si>
  <si>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</si>
  <si>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</si>
  <si>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</si>
  <si>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</si>
  <si>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</si>
  <si>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</si>
  <si>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</si>
  <si>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</si>
  <si>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</si>
  <si>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</si>
  <si>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</si>
  <si>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</si>
  <si>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</si>
  <si>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</si>
  <si>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</si>
  <si>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</si>
  <si>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</si>
  <si>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</si>
  <si>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</si>
  <si>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</si>
  <si>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</si>
  <si>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</si>
  <si>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</si>
  <si>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</si>
  <si>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</si>
  <si>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</si>
  <si>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</si>
  <si>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</si>
  <si>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</si>
  <si>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</si>
  <si>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</si>
  <si>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</si>
  <si>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</si>
  <si>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</si>
  <si>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</si>
  <si>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</si>
  <si>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</si>
  <si>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</si>
  <si>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</si>
  <si>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</si>
  <si>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</si>
  <si>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</si>
  <si>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</si>
  <si>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</si>
  <si>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</si>
  <si>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</si>
  <si>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</si>
  <si>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</si>
  <si>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</si>
  <si>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</si>
  <si>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</si>
  <si>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</si>
  <si>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</si>
  <si>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</si>
  <si>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</si>
  <si>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</si>
  <si>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</si>
  <si>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</si>
  <si>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</si>
  <si>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</si>
  <si>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</si>
  <si>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</si>
  <si>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</si>
  <si>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</si>
  <si>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</si>
  <si>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</si>
  <si>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</si>
  <si>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</si>
  <si>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</si>
  <si>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</si>
  <si>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</si>
  <si>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</si>
  <si>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</si>
  <si>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</si>
  <si>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</si>
  <si>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</si>
  <si>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</si>
  <si>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</si>
  <si>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</si>
  <si>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</si>
  <si>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</si>
  <si>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</si>
  <si>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</si>
  <si>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</si>
  <si>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</si>
  <si>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</si>
  <si>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</si>
  <si>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</si>
  <si>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</si>
  <si>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</si>
  <si>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</si>
  <si>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</si>
  <si>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</si>
  <si>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</si>
  <si>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</si>
  <si>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</si>
  <si>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</si>
  <si>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</si>
  <si>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</si>
  <si>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</si>
  <si>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</si>
  <si>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</si>
  <si>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</si>
  <si>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</si>
  <si>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</si>
  <si>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</si>
  <si>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</si>
  <si>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</si>
  <si>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</si>
  <si>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</si>
  <si>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</si>
  <si>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</si>
  <si>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</si>
  <si>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</si>
  <si>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</si>
  <si>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</si>
  <si>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</si>
  <si>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</si>
  <si>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</si>
  <si>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</si>
  <si>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</si>
  <si>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</si>
  <si>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</si>
  <si>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</si>
  <si>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</si>
  <si>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</si>
  <si>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</si>
  <si>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</si>
  <si>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</si>
  <si>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</si>
  <si>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</si>
  <si>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</si>
  <si>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</si>
  <si>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</si>
  <si>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</si>
  <si>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</si>
  <si>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</si>
  <si>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</si>
  <si>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</si>
  <si>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</si>
  <si>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</si>
  <si>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</si>
  <si>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</si>
  <si>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</si>
  <si>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</si>
  <si>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</si>
  <si>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</si>
  <si>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</si>
  <si>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</si>
  <si>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</si>
  <si>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</si>
  <si>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</si>
  <si>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</si>
  <si>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</si>
  <si>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</si>
  <si>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</si>
  <si>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</si>
  <si>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</si>
  <si>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</si>
  <si>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</si>
  <si>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</si>
  <si>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</si>
  <si>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</si>
  <si>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</si>
  <si>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</si>
  <si>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</si>
  <si>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</si>
  <si>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</si>
  <si>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</si>
  <si>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</si>
  <si>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</si>
  <si>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</si>
  <si>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</si>
  <si>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</si>
  <si>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</si>
  <si>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</si>
  <si>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</si>
  <si>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</si>
  <si>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</si>
  <si>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</si>
  <si>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</si>
  <si>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</si>
  <si>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</si>
  <si>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</si>
  <si>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</si>
  <si>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</si>
  <si>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</si>
  <si>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</si>
  <si>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</si>
  <si>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</si>
  <si>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</si>
  <si>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</si>
  <si>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</si>
  <si>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</si>
  <si>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</si>
  <si>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</si>
  <si>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</si>
  <si>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</si>
  <si>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</si>
  <si>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</si>
  <si>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</si>
  <si>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</si>
  <si>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</si>
  <si>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</si>
  <si>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</si>
  <si>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</si>
  <si>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</si>
  <si>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</si>
  <si>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</si>
  <si>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</si>
  <si>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</si>
  <si>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</si>
  <si>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</si>
  <si>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</si>
  <si>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</si>
  <si>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</si>
  <si>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</si>
  <si>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</si>
  <si>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</si>
  <si>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</si>
  <si>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</si>
  <si>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</si>
  <si>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</si>
  <si>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</si>
  <si>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</si>
  <si>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</si>
  <si>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</si>
  <si>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</si>
  <si>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</si>
  <si>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</si>
  <si>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</si>
  <si>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</si>
  <si>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</si>
  <si>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</si>
  <si>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</si>
  <si>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</si>
  <si>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</si>
  <si>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</si>
  <si>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</si>
  <si>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</si>
  <si>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</si>
  <si>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</si>
  <si>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</si>
  <si>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</si>
  <si>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</si>
  <si>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</si>
  <si>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</si>
  <si>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</si>
  <si>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</si>
  <si>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</si>
  <si>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</si>
  <si>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</si>
  <si>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</si>
  <si>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</si>
  <si>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</si>
  <si>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</si>
  <si>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</si>
  <si>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</si>
  <si>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</si>
  <si>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</si>
  <si>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</si>
  <si>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</si>
  <si>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</si>
  <si>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</si>
  <si>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</si>
  <si>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</si>
  <si>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</si>
  <si>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</si>
  <si>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</si>
  <si>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</si>
  <si>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</si>
  <si>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</si>
  <si>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</si>
  <si>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#12#</t>
  </si>
  <si>
    <t>#13#</t>
  </si>
  <si>
    <t>Murata Type 2</t>
  </si>
  <si>
    <t xml:space="preserve">Confrimed :  </t>
  </si>
  <si>
    <t>+</t>
  </si>
  <si>
    <t>-</t>
  </si>
  <si>
    <t>Electrical.</t>
  </si>
  <si>
    <t>(Room Temp.)</t>
  </si>
  <si>
    <t>2.Dimension.</t>
  </si>
  <si>
    <t>MM</t>
  </si>
  <si>
    <t>Auto Measurment / EC sorting M/C</t>
  </si>
  <si>
    <t>FC</t>
  </si>
  <si>
    <t>Frequency counter</t>
  </si>
  <si>
    <t>R</t>
  </si>
  <si>
    <t>Ruler</t>
  </si>
  <si>
    <t>Measuring Microscope.</t>
  </si>
  <si>
    <t>VC</t>
  </si>
  <si>
    <t>Vernier caliper.</t>
  </si>
  <si>
    <t>00078</t>
  </si>
  <si>
    <t>#7#</t>
  </si>
  <si>
    <t>#24#</t>
  </si>
  <si>
    <t>#34#</t>
  </si>
  <si>
    <t>#44#</t>
  </si>
  <si>
    <t>#54#</t>
  </si>
  <si>
    <t>#64#</t>
  </si>
  <si>
    <t>#74#</t>
  </si>
  <si>
    <t>\\163.50.57.106\wwwroot$\FG007\Image\Drawing\</t>
  </si>
  <si>
    <t>\\163.50.57.106\wwwroot$\FG007\Image\imageCross\</t>
  </si>
  <si>
    <t>\\163.50.57.106\wwwroot$\FG007\Image\PackingChk\</t>
  </si>
  <si>
    <t>\\163.50.57.106\wwwroot$\FG007\Image\MarkingCode\</t>
  </si>
  <si>
    <t>#172#</t>
  </si>
  <si>
    <t>#173#</t>
  </si>
  <si>
    <t>#174#</t>
  </si>
  <si>
    <t>#175#</t>
  </si>
  <si>
    <t>#176#</t>
  </si>
  <si>
    <t>#179#</t>
  </si>
  <si>
    <t>#181#</t>
  </si>
  <si>
    <t>#182#</t>
  </si>
  <si>
    <t>#183#</t>
  </si>
  <si>
    <t>#184#</t>
  </si>
  <si>
    <t>#185#</t>
  </si>
  <si>
    <t>#186#</t>
  </si>
  <si>
    <t>#189#</t>
  </si>
  <si>
    <t>#191#</t>
  </si>
  <si>
    <t>#192#</t>
  </si>
  <si>
    <t>#193#</t>
  </si>
  <si>
    <t>#194#</t>
  </si>
  <si>
    <t>#195#</t>
  </si>
  <si>
    <t>#196#</t>
  </si>
  <si>
    <t>#199#</t>
  </si>
  <si>
    <t>#201#</t>
  </si>
  <si>
    <t>#202#</t>
  </si>
  <si>
    <t>#203#</t>
  </si>
  <si>
    <t>#204#</t>
  </si>
  <si>
    <t>#205#</t>
  </si>
  <si>
    <t>#206#</t>
  </si>
  <si>
    <t>#209#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</si>
  <si>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</si>
  <si>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</si>
  <si>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</si>
  <si>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</si>
  <si>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</si>
  <si>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</si>
  <si>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</si>
  <si>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</si>
  <si>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</si>
  <si>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</si>
  <si>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</si>
  <si>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</si>
  <si>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</si>
  <si>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</si>
  <si>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</si>
  <si>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</si>
  <si>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</si>
  <si>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</si>
  <si>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</si>
  <si>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</si>
  <si>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</si>
  <si>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</si>
  <si>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</si>
  <si>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</si>
  <si>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</si>
  <si>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</si>
  <si>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</si>
  <si>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</si>
  <si>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</si>
  <si>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</si>
  <si>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</si>
  <si>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</si>
  <si>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</si>
  <si>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</si>
  <si>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</si>
  <si>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</si>
  <si>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</si>
  <si>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</si>
  <si>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</si>
  <si>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</si>
  <si>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#171#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</si>
  <si>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</si>
  <si>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</si>
  <si>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</si>
  <si>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</si>
  <si>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</si>
  <si>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</si>
  <si>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</si>
  <si>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</si>
  <si>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2223948497</t>
  </si>
  <si>
    <t>T0705</t>
  </si>
  <si>
    <t>I.Ploypairin</t>
  </si>
  <si>
    <t>IR [Mohm]</t>
  </si>
  <si>
    <t>&gt;=100</t>
  </si>
  <si>
    <t>Cf [pF]</t>
  </si>
  <si>
    <t>Fr [kHz]</t>
  </si>
  <si>
    <t>Decay_T [ms]</t>
  </si>
  <si>
    <t>EC</t>
  </si>
  <si>
    <t>A</t>
  </si>
  <si>
    <t>SR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</si>
  <si>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</si>
  <si>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</si>
  <si>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</si>
  <si>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</si>
  <si>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</si>
  <si>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</si>
  <si>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</si>
  <si>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</si>
  <si>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</si>
  <si>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</si>
  <si>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MET/TTE KS(USD)</t>
  </si>
  <si>
    <t>LCLW009LG_B21202953S522183TS2524006;MET/TTE KS(USD);1;20220926;F523Q44/NB83-3080053361-1;PIC-00005-Q0-5A;S522183;XX1;MA58MF14-3N;XX2</t>
  </si>
  <si>
    <t>;2223948497;012;T0705;PIC-00005-Q0-5A;1050;225MA1770;MA58MF14-3N;TS2524006;1350;125;5/21/2022;23;75;7946SIRI-ORN;I.Ploypairin;30X5= 150 PCs;225MA1770_MarkCD.jpg;;PIC-00005-Q0-5A;MET / TTE;;;;|IR [Mohm];&gt;=100;;;;100;KEGX01002;GER8GXS014;AS;Cf [pF];14;20%;20%;16;11;KEGX01002;GER8GXS014;AS;Fr [kHz];58.5;1;1;59.50;57.50;KEGX01002;GER8GXS014;AS;Decay_T [ms];&lt;=1.8;;;1.80;0.1;KEGX01002;GER8GXS014;EC;Sens [Vo-p];;;;4.50;2;KEGX01002;GER8GXS014;EC;Noise [Vo-p];&lt;=0.25;;;0.25;0;KEGX01002;GER8GXS014;EC;|A;40;5;5;45;35;KEGX01002;GER8GXS014;SR;|6083.80;6351.90;5121.50;7344.80;8014.20;;;;;;Electrical;IR [Mohm];MET / TTE;;;13.93;12.06;13.31;13.81;13.90;;;;;;Electrical;Cf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</si>
  <si>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012</t>
  </si>
  <si>
    <t>PIC-00005-Q0-5A</t>
  </si>
  <si>
    <t>225MA1770</t>
  </si>
  <si>
    <t>MA58MF14-3N</t>
  </si>
  <si>
    <t>TS2524006</t>
  </si>
  <si>
    <t>21-May-2022</t>
  </si>
  <si>
    <t>7946SIRI-ORN</t>
  </si>
  <si>
    <t>30X5= 150 PCs</t>
  </si>
  <si>
    <t>225MA1770_MarkCD.jpg</t>
  </si>
  <si>
    <t>MET / TTE</t>
  </si>
  <si>
    <t>KEGX01002</t>
  </si>
  <si>
    <t>GER8GXS014</t>
  </si>
  <si>
    <t>&lt;=1.8</t>
  </si>
  <si>
    <t>Sens [Vo-p]</t>
  </si>
  <si>
    <t>Noise [Vo-p]</t>
  </si>
  <si>
    <t>&lt;=0.25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</si>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</sst>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0.00_ "/>
    <numFmt numFmtId="181" formatCode="0.000_ 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18"/>
      <name val="Cordia New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b/>
      <sz val="9"/>
      <color indexed="8"/>
      <name val="Arial"/>
      <family val="2"/>
    </font>
    <font>
      <sz val="14"/>
      <name val="Cordia New"/>
      <family val="2"/>
    </font>
    <font>
      <sz val="9"/>
      <color indexed="8"/>
      <name val="MS Gothic"/>
      <family val="3"/>
    </font>
    <font>
      <b/>
      <sz val="11"/>
      <name val="Cordia New"/>
      <family val="2"/>
    </font>
    <font>
      <b/>
      <sz val="8"/>
      <name val="Arial"/>
      <family val="2"/>
    </font>
    <font>
      <sz val="12"/>
      <name val="Arial"/>
      <family val="2"/>
    </font>
    <font>
      <sz val="12"/>
      <name val="IDAutomationHC39M"/>
      <family val="3"/>
    </font>
    <font>
      <sz val="9"/>
      <color theme="0"/>
      <name val="Arial"/>
      <family val="2"/>
    </font>
    <font>
      <sz val="8"/>
      <color indexed="8"/>
      <name val="Arial"/>
      <family val="2"/>
    </font>
    <font>
      <b/>
      <sz val="16"/>
      <name val="Cordia New"/>
      <family val="2"/>
    </font>
  </fonts>
  <fills count="2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0" applyNumberFormat="0" applyAlignment="0" applyProtection="0">
      <alignment horizontal="left" vertical="center"/>
    </xf>
    <xf numFmtId="0" fontId="9" fillId="0" borderId="4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6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1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2" applyNumberFormat="0" applyFont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4" fillId="0" borderId="0"/>
    <xf numFmtId="0" fontId="28" fillId="10" borderId="34" applyNumberFormat="0" applyAlignment="0" applyProtection="0">
      <alignment vertical="center"/>
    </xf>
    <xf numFmtId="0" fontId="29" fillId="21" borderId="35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4" fillId="0" borderId="37" applyNumberFormat="0" applyFill="0" applyAlignment="0" applyProtection="0">
      <alignment vertical="center"/>
    </xf>
    <xf numFmtId="0" fontId="35" fillId="0" borderId="38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4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39" applyNumberFormat="0" applyFill="0" applyAlignment="0" applyProtection="0">
      <alignment vertical="center"/>
    </xf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4" fillId="0" borderId="0"/>
    <xf numFmtId="0" fontId="56" fillId="0" borderId="0"/>
    <xf numFmtId="9" fontId="1" fillId="0" borderId="0" applyFont="0" applyFill="0" applyBorder="0" applyAlignment="0" applyProtection="0"/>
  </cellStyleXfs>
  <cellXfs count="261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41" fillId="0" borderId="4" xfId="109" applyFont="1" applyFill="1" applyBorder="1" applyAlignment="1" applyProtection="1">
      <alignment horizontal="left" vertical="center"/>
    </xf>
    <xf numFmtId="0" fontId="41" fillId="0" borderId="5" xfId="109" applyFont="1" applyFill="1" applyBorder="1" applyAlignment="1" applyProtection="1">
      <alignment horizontal="left" vertical="center"/>
    </xf>
    <xf numFmtId="0" fontId="41" fillId="0" borderId="4" xfId="109" applyFont="1" applyFill="1" applyBorder="1" applyAlignment="1" applyProtection="1">
      <alignment vertical="center"/>
    </xf>
    <xf numFmtId="0" fontId="41" fillId="0" borderId="5" xfId="109" applyFont="1" applyFill="1" applyBorder="1" applyAlignment="1" applyProtection="1">
      <alignment vertical="center"/>
    </xf>
    <xf numFmtId="0" fontId="40" fillId="0" borderId="4" xfId="109" applyFont="1" applyFill="1" applyBorder="1" applyAlignment="1" applyProtection="1">
      <alignment vertical="center"/>
    </xf>
    <xf numFmtId="0" fontId="8" fillId="0" borderId="4" xfId="109" applyFont="1" applyFill="1" applyBorder="1" applyAlignment="1" applyProtection="1">
      <alignment horizontal="center" vertical="center"/>
    </xf>
    <xf numFmtId="0" fontId="5" fillId="0" borderId="1" xfId="109" quotePrefix="1" applyFont="1" applyFill="1" applyBorder="1" applyAlignment="1" applyProtection="1">
      <alignment horizontal="center" vertical="center"/>
    </xf>
    <xf numFmtId="0" fontId="5" fillId="0" borderId="1" xfId="109" applyFont="1" applyFill="1" applyBorder="1" applyAlignment="1" applyProtection="1">
      <alignment horizontal="center" vertical="center" wrapText="1"/>
    </xf>
    <xf numFmtId="1" fontId="6" fillId="0" borderId="1" xfId="109" applyNumberFormat="1" applyFont="1" applyFill="1" applyBorder="1" applyAlignment="1" applyProtection="1">
      <alignment horizontal="center" vertical="center"/>
    </xf>
    <xf numFmtId="2" fontId="44" fillId="0" borderId="1" xfId="109" applyNumberFormat="1" applyFont="1" applyFill="1" applyBorder="1" applyAlignment="1" applyProtection="1">
      <alignment horizontal="center" vertical="center"/>
    </xf>
    <xf numFmtId="0" fontId="6" fillId="0" borderId="1" xfId="109" applyFont="1" applyFill="1" applyBorder="1" applyAlignment="1" applyProtection="1">
      <alignment horizontal="center" vertical="center"/>
    </xf>
    <xf numFmtId="0" fontId="6" fillId="0" borderId="4" xfId="4" applyFont="1" applyFill="1" applyBorder="1" applyAlignment="1" applyProtection="1">
      <alignment horizontal="left" vertical="center"/>
    </xf>
    <xf numFmtId="0" fontId="5" fillId="3" borderId="1" xfId="109" applyFont="1" applyFill="1" applyBorder="1" applyAlignment="1" applyProtection="1">
      <alignment horizontal="center" vertical="center"/>
      <protection locked="0"/>
    </xf>
    <xf numFmtId="0" fontId="6" fillId="4" borderId="1" xfId="4" applyFont="1" applyFill="1" applyBorder="1" applyAlignment="1" applyProtection="1">
      <alignment vertical="center"/>
    </xf>
    <xf numFmtId="49" fontId="6" fillId="0" borderId="4" xfId="4" applyNumberFormat="1" applyFont="1" applyFill="1" applyBorder="1" applyAlignment="1" applyProtection="1">
      <alignment horizontal="left" vertical="center"/>
    </xf>
    <xf numFmtId="49" fontId="6" fillId="0" borderId="4" xfId="4" applyNumberFormat="1" applyFont="1" applyFill="1" applyBorder="1" applyAlignment="1" applyProtection="1">
      <alignment horizontal="center" vertical="center"/>
    </xf>
    <xf numFmtId="49" fontId="6" fillId="0" borderId="5" xfId="4" applyNumberFormat="1" applyFont="1" applyFill="1" applyBorder="1" applyAlignment="1" applyProtection="1">
      <alignment horizontal="center" vertical="center"/>
    </xf>
    <xf numFmtId="49" fontId="6" fillId="4" borderId="1" xfId="4" applyNumberFormat="1" applyFont="1" applyFill="1" applyBorder="1" applyAlignment="1" applyProtection="1">
      <alignment vertical="center"/>
    </xf>
    <xf numFmtId="0" fontId="6" fillId="0" borderId="4" xfId="109" applyFont="1" applyFill="1" applyBorder="1" applyAlignment="1" applyProtection="1">
      <alignment vertical="center"/>
    </xf>
    <xf numFmtId="0" fontId="6" fillId="0" borderId="4" xfId="4" applyFont="1" applyFill="1" applyBorder="1" applyAlignment="1" applyProtection="1">
      <alignment horizontal="center" vertical="center"/>
    </xf>
    <xf numFmtId="0" fontId="6" fillId="0" borderId="5" xfId="4" applyFont="1" applyFill="1" applyBorder="1" applyAlignment="1" applyProtection="1">
      <alignment horizontal="center" vertical="center"/>
    </xf>
    <xf numFmtId="0" fontId="6" fillId="0" borderId="0" xfId="109" applyFont="1" applyFill="1" applyBorder="1" applyAlignment="1" applyProtection="1">
      <alignment vertical="center"/>
    </xf>
    <xf numFmtId="0" fontId="6" fillId="0" borderId="0" xfId="109" applyFont="1" applyFill="1" applyBorder="1" applyAlignment="1" applyProtection="1">
      <alignment horizontal="center" vertical="center"/>
    </xf>
    <xf numFmtId="0" fontId="6" fillId="0" borderId="0" xfId="4" applyFont="1" applyFill="1" applyBorder="1" applyAlignment="1" applyProtection="1">
      <alignment horizontal="center" vertical="center"/>
    </xf>
    <xf numFmtId="0" fontId="6" fillId="0" borderId="0" xfId="4" applyFont="1" applyFill="1" applyBorder="1" applyAlignment="1" applyProtection="1">
      <alignment vertical="center"/>
    </xf>
    <xf numFmtId="0" fontId="6" fillId="0" borderId="14" xfId="4" applyFont="1" applyFill="1" applyBorder="1" applyAlignment="1" applyProtection="1">
      <alignment vertical="center"/>
    </xf>
    <xf numFmtId="0" fontId="6" fillId="3" borderId="27" xfId="4" applyFont="1" applyFill="1" applyBorder="1" applyAlignment="1" applyProtection="1">
      <alignment horizontal="center" vertical="center"/>
      <protection locked="0"/>
    </xf>
    <xf numFmtId="0" fontId="6" fillId="0" borderId="16" xfId="109" applyFont="1" applyFill="1" applyBorder="1" applyAlignment="1" applyProtection="1">
      <alignment vertical="center"/>
    </xf>
    <xf numFmtId="0" fontId="6" fillId="0" borderId="16" xfId="109" applyFont="1" applyFill="1" applyBorder="1" applyAlignment="1" applyProtection="1">
      <alignment horizontal="center" vertical="center"/>
    </xf>
    <xf numFmtId="0" fontId="6" fillId="0" borderId="16" xfId="4" applyFont="1" applyFill="1" applyBorder="1" applyAlignment="1" applyProtection="1">
      <alignment horizontal="center" vertical="center"/>
    </xf>
    <xf numFmtId="0" fontId="6" fillId="0" borderId="16" xfId="4" applyFont="1" applyFill="1" applyBorder="1" applyAlignment="1" applyProtection="1">
      <alignment vertical="center"/>
    </xf>
    <xf numFmtId="0" fontId="6" fillId="0" borderId="17" xfId="4" applyFont="1" applyFill="1" applyBorder="1" applyAlignment="1" applyProtection="1">
      <alignment vertical="center"/>
    </xf>
    <xf numFmtId="0" fontId="6" fillId="0" borderId="43" xfId="109" applyFont="1" applyFill="1" applyBorder="1" applyAlignment="1" applyProtection="1">
      <alignment horizontal="center" vertical="center"/>
    </xf>
    <xf numFmtId="0" fontId="6" fillId="0" borderId="23" xfId="109" applyFont="1" applyFill="1" applyBorder="1" applyAlignment="1" applyProtection="1">
      <alignment horizontal="center" vertical="center"/>
    </xf>
    <xf numFmtId="0" fontId="6" fillId="0" borderId="20" xfId="109" applyFont="1" applyFill="1" applyBorder="1" applyAlignment="1" applyProtection="1">
      <alignment vertical="center"/>
    </xf>
    <xf numFmtId="0" fontId="6" fillId="0" borderId="22" xfId="109" applyFont="1" applyFill="1" applyBorder="1" applyAlignment="1" applyProtection="1">
      <alignment vertical="center"/>
    </xf>
    <xf numFmtId="0" fontId="0" fillId="24" borderId="7" xfId="0" applyFill="1" applyBorder="1"/>
    <xf numFmtId="0" fontId="0" fillId="24" borderId="0" xfId="0" applyFill="1"/>
    <xf numFmtId="0" fontId="0" fillId="24" borderId="28" xfId="0" applyFill="1" applyBorder="1"/>
    <xf numFmtId="0" fontId="0" fillId="24" borderId="29" xfId="0" applyFill="1" applyBorder="1"/>
    <xf numFmtId="0" fontId="0" fillId="25" borderId="7" xfId="0" applyFill="1" applyBorder="1"/>
    <xf numFmtId="0" fontId="0" fillId="25" borderId="0" xfId="0" applyFill="1"/>
    <xf numFmtId="0" fontId="0" fillId="25" borderId="29" xfId="0" applyFill="1" applyBorder="1"/>
    <xf numFmtId="0" fontId="0" fillId="2" borderId="29" xfId="0" applyFill="1" applyBorder="1"/>
    <xf numFmtId="0" fontId="0" fillId="2" borderId="16" xfId="0" applyFill="1" applyBorder="1"/>
    <xf numFmtId="0" fontId="0" fillId="2" borderId="28" xfId="0" applyFill="1" applyBorder="1"/>
    <xf numFmtId="0" fontId="0" fillId="25" borderId="0" xfId="0" applyFill="1" applyBorder="1"/>
    <xf numFmtId="0" fontId="0" fillId="25" borderId="6" xfId="0" applyFill="1" applyBorder="1"/>
    <xf numFmtId="0" fontId="0" fillId="25" borderId="16" xfId="0" applyFill="1" applyBorder="1"/>
    <xf numFmtId="0" fontId="0" fillId="26" borderId="7" xfId="0" applyFill="1" applyBorder="1"/>
    <xf numFmtId="0" fontId="0" fillId="26" borderId="0" xfId="0" applyFill="1"/>
    <xf numFmtId="0" fontId="0" fillId="26" borderId="16" xfId="0" applyFill="1" applyBorder="1"/>
    <xf numFmtId="0" fontId="0" fillId="25" borderId="28" xfId="0" applyFill="1" applyBorder="1"/>
    <xf numFmtId="9" fontId="0" fillId="24" borderId="7" xfId="0" applyNumberFormat="1" applyFill="1" applyBorder="1"/>
    <xf numFmtId="0" fontId="0" fillId="27" borderId="7" xfId="0" applyFill="1" applyBorder="1"/>
    <xf numFmtId="0" fontId="0" fillId="27" borderId="29" xfId="0" applyFill="1" applyBorder="1"/>
    <xf numFmtId="0" fontId="0" fillId="27" borderId="0" xfId="0" applyFill="1"/>
    <xf numFmtId="0" fontId="0" fillId="27" borderId="28" xfId="0" applyFill="1" applyBorder="1"/>
    <xf numFmtId="0" fontId="8" fillId="0" borderId="4" xfId="109" applyFont="1" applyFill="1" applyBorder="1" applyAlignment="1" applyProtection="1">
      <alignment vertical="center"/>
    </xf>
    <xf numFmtId="167" fontId="6" fillId="0" borderId="1" xfId="109" applyNumberFormat="1" applyFont="1" applyFill="1" applyBorder="1" applyAlignment="1" applyProtection="1">
      <alignment horizontal="center" vertical="center"/>
    </xf>
    <xf numFmtId="1" fontId="44" fillId="0" borderId="1" xfId="109" applyNumberFormat="1" applyFont="1" applyFill="1" applyBorder="1" applyAlignment="1" applyProtection="1">
      <alignment horizontal="center" vertical="center"/>
    </xf>
    <xf numFmtId="1" fontId="55" fillId="0" borderId="1" xfId="4" applyNumberFormat="1" applyFont="1" applyFill="1" applyBorder="1" applyAlignment="1" applyProtection="1">
      <alignment horizontal="center" vertical="center"/>
    </xf>
    <xf numFmtId="167" fontId="44" fillId="0" borderId="1" xfId="109" applyNumberFormat="1" applyFont="1" applyFill="1" applyBorder="1" applyAlignment="1" applyProtection="1">
      <alignment horizontal="center" vertical="center"/>
    </xf>
    <xf numFmtId="167" fontId="44" fillId="0" borderId="1" xfId="4" applyNumberFormat="1" applyFont="1" applyFill="1" applyBorder="1" applyAlignment="1" applyProtection="1">
      <alignment horizontal="center" vertical="center"/>
    </xf>
    <xf numFmtId="167" fontId="55" fillId="0" borderId="1" xfId="4" applyNumberFormat="1" applyFont="1" applyFill="1" applyBorder="1" applyAlignment="1" applyProtection="1">
      <alignment horizontal="center" vertical="center"/>
    </xf>
    <xf numFmtId="0" fontId="7" fillId="0" borderId="3" xfId="109" applyFont="1" applyFill="1" applyBorder="1" applyAlignment="1" applyProtection="1">
      <alignment vertical="center"/>
    </xf>
    <xf numFmtId="0" fontId="7" fillId="0" borderId="44" xfId="109" applyFont="1" applyFill="1" applyBorder="1" applyAlignment="1" applyProtection="1">
      <alignment vertical="center"/>
    </xf>
    <xf numFmtId="0" fontId="6" fillId="0" borderId="46" xfId="109" applyFont="1" applyFill="1" applyBorder="1" applyAlignment="1" applyProtection="1">
      <alignment horizontal="center" vertical="center"/>
    </xf>
    <xf numFmtId="49" fontId="0" fillId="2" borderId="0" xfId="0" applyNumberFormat="1" applyFill="1"/>
    <xf numFmtId="0" fontId="9" fillId="0" borderId="3" xfId="109" applyFont="1" applyFill="1" applyBorder="1" applyAlignment="1" applyProtection="1">
      <alignment horizontal="left" vertical="center"/>
    </xf>
    <xf numFmtId="0" fontId="6" fillId="0" borderId="0" xfId="2" applyFont="1" applyAlignment="1" applyProtection="1">
      <alignment vertical="center"/>
    </xf>
    <xf numFmtId="0" fontId="39" fillId="0" borderId="0" xfId="2" applyFont="1" applyAlignment="1" applyProtection="1">
      <alignment horizontal="left" vertical="center"/>
    </xf>
    <xf numFmtId="0" fontId="6" fillId="0" borderId="0" xfId="2" applyFont="1" applyAlignment="1" applyProtection="1">
      <alignment horizontal="center" vertical="center"/>
    </xf>
    <xf numFmtId="0" fontId="6" fillId="0" borderId="0" xfId="2" applyFont="1" applyBorder="1" applyAlignment="1" applyProtection="1">
      <alignment vertical="center"/>
    </xf>
    <xf numFmtId="0" fontId="9" fillId="0" borderId="3" xfId="109" applyFont="1" applyFill="1" applyBorder="1" applyAlignment="1" applyProtection="1">
      <alignment vertical="center"/>
    </xf>
    <xf numFmtId="0" fontId="40" fillId="0" borderId="4" xfId="2" applyFont="1" applyFill="1" applyBorder="1" applyAlignment="1" applyProtection="1">
      <alignment vertical="center"/>
    </xf>
    <xf numFmtId="0" fontId="6" fillId="0" borderId="4" xfId="2" applyFont="1" applyBorder="1" applyAlignment="1" applyProtection="1">
      <alignment vertical="center"/>
    </xf>
    <xf numFmtId="0" fontId="6" fillId="0" borderId="5" xfId="2" applyFont="1" applyBorder="1" applyAlignment="1" applyProtection="1">
      <alignment vertical="center"/>
    </xf>
    <xf numFmtId="0" fontId="8" fillId="0" borderId="3" xfId="2" applyFont="1" applyBorder="1" applyProtection="1"/>
    <xf numFmtId="0" fontId="8" fillId="0" borderId="4" xfId="2" applyFont="1" applyBorder="1" applyProtection="1"/>
    <xf numFmtId="0" fontId="42" fillId="0" borderId="0" xfId="2" applyFont="1" applyBorder="1" applyProtection="1"/>
    <xf numFmtId="0" fontId="41" fillId="0" borderId="4" xfId="109" quotePrefix="1" applyFont="1" applyFill="1" applyBorder="1" applyAlignment="1" applyProtection="1">
      <alignment horizontal="center" vertical="center"/>
    </xf>
    <xf numFmtId="0" fontId="8" fillId="0" borderId="4" xfId="2" applyFont="1" applyFill="1" applyBorder="1" applyAlignment="1" applyProtection="1">
      <alignment horizontal="right" vertical="center"/>
    </xf>
    <xf numFmtId="15" fontId="41" fillId="0" borderId="4" xfId="109" applyNumberFormat="1" applyFont="1" applyFill="1" applyBorder="1" applyAlignment="1" applyProtection="1">
      <alignment horizontal="left" vertical="center"/>
    </xf>
    <xf numFmtId="0" fontId="6" fillId="0" borderId="0" xfId="2" applyFont="1" applyFill="1" applyAlignment="1" applyProtection="1">
      <alignment vertical="center"/>
    </xf>
    <xf numFmtId="0" fontId="6" fillId="0" borderId="0" xfId="2" applyFont="1" applyFill="1" applyAlignment="1" applyProtection="1">
      <alignment horizontal="center" vertical="center"/>
    </xf>
    <xf numFmtId="0" fontId="5" fillId="0" borderId="1" xfId="2" applyFont="1" applyBorder="1" applyAlignment="1" applyProtection="1">
      <alignment horizontal="center" vertical="center"/>
    </xf>
    <xf numFmtId="0" fontId="5" fillId="0" borderId="0" xfId="2" applyFont="1" applyAlignment="1" applyProtection="1">
      <alignment vertical="center"/>
    </xf>
    <xf numFmtId="0" fontId="6" fillId="0" borderId="47" xfId="2" applyFont="1" applyFill="1" applyBorder="1" applyAlignment="1" applyProtection="1">
      <alignment vertical="center"/>
    </xf>
    <xf numFmtId="0" fontId="6" fillId="0" borderId="1" xfId="2" applyFont="1" applyBorder="1" applyAlignment="1" applyProtection="1">
      <alignment horizontal="center" vertical="center"/>
    </xf>
    <xf numFmtId="1" fontId="6" fillId="3" borderId="1" xfId="2" applyNumberFormat="1" applyFont="1" applyFill="1" applyBorder="1" applyAlignment="1" applyProtection="1">
      <alignment horizontal="center" vertical="center"/>
      <protection locked="0"/>
    </xf>
    <xf numFmtId="0" fontId="6" fillId="0" borderId="7" xfId="2" applyFont="1" applyFill="1" applyBorder="1" applyAlignment="1" applyProtection="1">
      <alignment vertical="center"/>
    </xf>
    <xf numFmtId="1" fontId="44" fillId="3" borderId="1" xfId="109" applyNumberFormat="1" applyFont="1" applyFill="1" applyBorder="1" applyAlignment="1" applyProtection="1">
      <alignment horizontal="center" vertical="center"/>
      <protection locked="0"/>
    </xf>
    <xf numFmtId="167" fontId="6" fillId="0" borderId="1" xfId="2" applyNumberFormat="1" applyFont="1" applyBorder="1" applyAlignment="1" applyProtection="1">
      <alignment horizontal="center" vertical="center"/>
    </xf>
    <xf numFmtId="167" fontId="44" fillId="3" borderId="1" xfId="109" applyNumberFormat="1" applyFont="1" applyFill="1" applyBorder="1" applyAlignment="1" applyProtection="1">
      <alignment horizontal="center" vertical="center"/>
      <protection locked="0"/>
    </xf>
    <xf numFmtId="166" fontId="55" fillId="0" borderId="1" xfId="4" applyNumberFormat="1" applyFont="1" applyFill="1" applyBorder="1" applyAlignment="1" applyProtection="1">
      <alignment horizontal="center" vertical="center"/>
    </xf>
    <xf numFmtId="166" fontId="44" fillId="3" borderId="1" xfId="109" applyNumberFormat="1" applyFont="1" applyFill="1" applyBorder="1" applyAlignment="1" applyProtection="1">
      <alignment horizontal="center" vertical="center"/>
      <protection locked="0"/>
    </xf>
    <xf numFmtId="2" fontId="6" fillId="0" borderId="1" xfId="109" applyNumberFormat="1" applyFont="1" applyFill="1" applyBorder="1" applyAlignment="1" applyProtection="1">
      <alignment horizontal="center" vertical="center"/>
    </xf>
    <xf numFmtId="0" fontId="6" fillId="0" borderId="7" xfId="2" applyFont="1" applyFill="1" applyBorder="1" applyAlignment="1" applyProtection="1">
      <alignment horizontal="left" vertical="center"/>
    </xf>
    <xf numFmtId="2" fontId="44" fillId="0" borderId="1" xfId="4" applyNumberFormat="1" applyFont="1" applyFill="1" applyBorder="1" applyAlignment="1" applyProtection="1">
      <alignment horizontal="center" vertical="center"/>
    </xf>
    <xf numFmtId="2" fontId="55" fillId="0" borderId="1" xfId="4" applyNumberFormat="1" applyFont="1" applyFill="1" applyBorder="1" applyAlignment="1" applyProtection="1">
      <alignment horizontal="center" vertical="center"/>
    </xf>
    <xf numFmtId="180" fontId="6" fillId="0" borderId="0" xfId="2" applyNumberFormat="1" applyFont="1" applyAlignment="1" applyProtection="1">
      <alignment vertical="center"/>
    </xf>
    <xf numFmtId="2" fontId="44" fillId="3" borderId="1" xfId="109" applyNumberFormat="1" applyFont="1" applyFill="1" applyBorder="1" applyAlignment="1" applyProtection="1">
      <alignment horizontal="center" vertical="center"/>
      <protection locked="0"/>
    </xf>
    <xf numFmtId="167" fontId="44" fillId="0" borderId="0" xfId="109" applyNumberFormat="1" applyFont="1" applyFill="1" applyBorder="1" applyAlignment="1" applyProtection="1">
      <alignment horizontal="center" vertical="center"/>
    </xf>
    <xf numFmtId="167" fontId="44" fillId="0" borderId="0" xfId="4" applyNumberFormat="1" applyFont="1" applyFill="1" applyBorder="1" applyAlignment="1" applyProtection="1">
      <alignment horizontal="center" vertical="center"/>
    </xf>
    <xf numFmtId="0" fontId="1" fillId="0" borderId="4" xfId="2" applyBorder="1" applyAlignment="1" applyProtection="1">
      <alignment vertical="center"/>
    </xf>
    <xf numFmtId="0" fontId="6" fillId="4" borderId="1" xfId="2" applyFont="1" applyFill="1" applyBorder="1" applyAlignment="1" applyProtection="1">
      <alignment vertical="center"/>
    </xf>
    <xf numFmtId="0" fontId="7" fillId="0" borderId="3" xfId="2" applyFont="1" applyBorder="1" applyAlignment="1" applyProtection="1">
      <alignment vertical="center"/>
    </xf>
    <xf numFmtId="0" fontId="6" fillId="0" borderId="0" xfId="4" applyFont="1" applyFill="1" applyBorder="1" applyAlignment="1" applyProtection="1">
      <alignment horizontal="left" vertical="center"/>
    </xf>
    <xf numFmtId="0" fontId="6" fillId="4" borderId="1" xfId="4" applyFont="1" applyFill="1" applyBorder="1" applyAlignment="1" applyProtection="1">
      <alignment horizontal="center" vertical="center"/>
    </xf>
    <xf numFmtId="0" fontId="4" fillId="0" borderId="21" xfId="2" applyFont="1" applyBorder="1" applyAlignment="1" applyProtection="1">
      <alignment vertical="center"/>
    </xf>
    <xf numFmtId="0" fontId="6" fillId="0" borderId="21" xfId="2" applyFont="1" applyBorder="1" applyAlignment="1" applyProtection="1">
      <alignment vertical="center"/>
    </xf>
    <xf numFmtId="0" fontId="58" fillId="0" borderId="0" xfId="2" applyFont="1" applyBorder="1" applyAlignment="1" applyProtection="1">
      <alignment wrapText="1"/>
    </xf>
    <xf numFmtId="0" fontId="59" fillId="0" borderId="45" xfId="2" applyFont="1" applyBorder="1" applyAlignment="1" applyProtection="1">
      <alignment horizontal="left" vertical="center"/>
    </xf>
    <xf numFmtId="0" fontId="4" fillId="0" borderId="18" xfId="2" applyFont="1" applyBorder="1" applyAlignment="1" applyProtection="1">
      <alignment horizontal="left" vertical="center"/>
    </xf>
    <xf numFmtId="0" fontId="6" fillId="0" borderId="2" xfId="2" applyFont="1" applyBorder="1" applyAlignment="1" applyProtection="1">
      <alignment horizontal="left" vertical="center"/>
    </xf>
    <xf numFmtId="0" fontId="6" fillId="0" borderId="27" xfId="4" applyFont="1" applyFill="1" applyBorder="1" applyAlignment="1" applyProtection="1">
      <alignment horizontal="left" vertical="center"/>
    </xf>
    <xf numFmtId="0" fontId="4" fillId="0" borderId="48" xfId="2" applyFont="1" applyBorder="1" applyAlignment="1" applyProtection="1">
      <alignment horizontal="left" vertical="center"/>
    </xf>
    <xf numFmtId="0" fontId="6" fillId="0" borderId="4" xfId="2" applyFont="1" applyBorder="1" applyAlignment="1" applyProtection="1">
      <alignment horizontal="left" vertical="center"/>
    </xf>
    <xf numFmtId="0" fontId="6" fillId="0" borderId="20" xfId="4" applyFont="1" applyFill="1" applyBorder="1" applyAlignment="1" applyProtection="1">
      <alignment horizontal="left" vertical="center"/>
    </xf>
    <xf numFmtId="0" fontId="4" fillId="0" borderId="50" xfId="2" applyFont="1" applyBorder="1" applyAlignment="1" applyProtection="1">
      <alignment horizontal="left" vertical="center"/>
    </xf>
    <xf numFmtId="0" fontId="6" fillId="0" borderId="9" xfId="2" applyFont="1" applyBorder="1" applyAlignment="1" applyProtection="1">
      <alignment horizontal="left" vertical="center"/>
    </xf>
    <xf numFmtId="0" fontId="6" fillId="0" borderId="22" xfId="4" applyFont="1" applyFill="1" applyBorder="1" applyAlignment="1" applyProtection="1">
      <alignment horizontal="left" vertical="center"/>
    </xf>
    <xf numFmtId="0" fontId="45" fillId="0" borderId="0" xfId="2" applyFont="1" applyBorder="1" applyAlignment="1" applyProtection="1">
      <alignment horizontal="left" vertical="center"/>
    </xf>
    <xf numFmtId="0" fontId="4" fillId="0" borderId="0" xfId="2" applyFont="1" applyBorder="1" applyAlignment="1" applyProtection="1">
      <alignment horizontal="left" vertical="center"/>
    </xf>
    <xf numFmtId="0" fontId="6" fillId="0" borderId="0" xfId="2" applyFont="1" applyBorder="1" applyAlignment="1" applyProtection="1">
      <alignment horizontal="left" vertical="center"/>
    </xf>
    <xf numFmtId="0" fontId="6" fillId="0" borderId="15" xfId="2" applyFont="1" applyBorder="1" applyAlignment="1" applyProtection="1">
      <alignment vertical="center"/>
    </xf>
    <xf numFmtId="0" fontId="6" fillId="0" borderId="16" xfId="2" applyFont="1" applyBorder="1" applyAlignment="1" applyProtection="1">
      <alignment vertical="center"/>
    </xf>
    <xf numFmtId="0" fontId="6" fillId="0" borderId="12" xfId="109" applyFont="1" applyFill="1" applyBorder="1" applyAlignment="1" applyProtection="1">
      <alignment vertical="center"/>
    </xf>
    <xf numFmtId="0" fontId="6" fillId="0" borderId="11" xfId="2" applyFont="1" applyBorder="1" applyAlignment="1" applyProtection="1">
      <alignment vertical="center"/>
    </xf>
    <xf numFmtId="0" fontId="6" fillId="0" borderId="11" xfId="2" applyFont="1" applyBorder="1" applyAlignment="1" applyProtection="1">
      <alignment horizontal="center" vertical="center"/>
    </xf>
    <xf numFmtId="0" fontId="6" fillId="0" borderId="13" xfId="109" applyFont="1" applyFill="1" applyBorder="1" applyAlignment="1" applyProtection="1">
      <alignment vertical="center"/>
    </xf>
    <xf numFmtId="0" fontId="6" fillId="0" borderId="3" xfId="109" applyFont="1" applyFill="1" applyBorder="1" applyAlignment="1" applyProtection="1">
      <alignment vertical="center"/>
    </xf>
    <xf numFmtId="0" fontId="6" fillId="0" borderId="4" xfId="2" applyFont="1" applyBorder="1" applyAlignment="1" applyProtection="1">
      <alignment horizontal="center" vertical="center"/>
    </xf>
    <xf numFmtId="0" fontId="6" fillId="0" borderId="51" xfId="109" applyFont="1" applyFill="1" applyBorder="1" applyAlignment="1" applyProtection="1">
      <alignment horizontal="center" vertical="center"/>
    </xf>
    <xf numFmtId="0" fontId="6" fillId="0" borderId="6" xfId="2" applyFont="1" applyBorder="1" applyAlignment="1" applyProtection="1">
      <alignment vertical="center"/>
    </xf>
    <xf numFmtId="0" fontId="6" fillId="0" borderId="6" xfId="2" applyFont="1" applyBorder="1" applyAlignment="1" applyProtection="1">
      <alignment horizontal="center" vertical="center"/>
    </xf>
    <xf numFmtId="0" fontId="6" fillId="0" borderId="49" xfId="109" applyFont="1" applyFill="1" applyBorder="1" applyAlignment="1" applyProtection="1">
      <alignment vertical="center"/>
    </xf>
    <xf numFmtId="0" fontId="6" fillId="0" borderId="8" xfId="109" applyFont="1" applyFill="1" applyBorder="1" applyAlignment="1" applyProtection="1">
      <alignment vertical="center"/>
    </xf>
    <xf numFmtId="0" fontId="6" fillId="0" borderId="9" xfId="2" applyFont="1" applyBorder="1" applyAlignment="1" applyProtection="1">
      <alignment vertical="center"/>
    </xf>
    <xf numFmtId="0" fontId="6" fillId="0" borderId="9" xfId="2" applyFont="1" applyBorder="1" applyAlignment="1" applyProtection="1">
      <alignment horizontal="center" vertical="center"/>
    </xf>
    <xf numFmtId="0" fontId="51" fillId="0" borderId="21" xfId="2" applyFont="1" applyBorder="1" applyAlignment="1" applyProtection="1">
      <alignment vertical="center"/>
    </xf>
    <xf numFmtId="0" fontId="1" fillId="0" borderId="0" xfId="2" applyProtection="1"/>
    <xf numFmtId="0" fontId="6" fillId="0" borderId="0" xfId="2" applyFont="1" applyBorder="1" applyAlignment="1" applyProtection="1">
      <alignment horizontal="center" vertical="center"/>
    </xf>
    <xf numFmtId="0" fontId="6" fillId="0" borderId="14" xfId="2" applyFont="1" applyBorder="1" applyAlignment="1" applyProtection="1">
      <alignment vertical="center"/>
    </xf>
    <xf numFmtId="0" fontId="52" fillId="0" borderId="21" xfId="2" applyFont="1" applyBorder="1" applyAlignment="1" applyProtection="1">
      <alignment vertical="center"/>
    </xf>
    <xf numFmtId="0" fontId="6" fillId="0" borderId="16" xfId="2" applyFont="1" applyBorder="1" applyAlignment="1" applyProtection="1">
      <alignment horizontal="center" vertical="center"/>
    </xf>
    <xf numFmtId="0" fontId="6" fillId="0" borderId="17" xfId="2" applyFont="1" applyBorder="1" applyAlignment="1" applyProtection="1">
      <alignment vertical="center"/>
    </xf>
    <xf numFmtId="0" fontId="7" fillId="0" borderId="0" xfId="2" applyFont="1" applyAlignment="1" applyProtection="1">
      <alignment horizontal="right" vertical="center"/>
    </xf>
    <xf numFmtId="181" fontId="6" fillId="0" borderId="0" xfId="2" applyNumberFormat="1" applyFont="1" applyAlignment="1" applyProtection="1">
      <alignment vertical="center"/>
    </xf>
    <xf numFmtId="0" fontId="62" fillId="0" borderId="0" xfId="2" quotePrefix="1" applyFont="1" applyAlignment="1" applyProtection="1">
      <alignment horizontal="left" vertical="center"/>
    </xf>
    <xf numFmtId="0" fontId="8" fillId="0" borderId="3" xfId="2" applyFont="1" applyFill="1" applyBorder="1" applyAlignment="1" applyProtection="1">
      <alignment horizontal="center" vertical="center"/>
      <protection locked="0"/>
    </xf>
    <xf numFmtId="0" fontId="8" fillId="0" borderId="4" xfId="109" applyFont="1" applyFill="1" applyBorder="1" applyAlignment="1" applyProtection="1">
      <alignment horizontal="center" vertical="center"/>
      <protection locked="0"/>
    </xf>
    <xf numFmtId="1" fontId="5" fillId="0" borderId="1" xfId="2" applyNumberFormat="1" applyFont="1" applyBorder="1" applyAlignment="1" applyProtection="1">
      <alignment horizontal="center" vertical="center"/>
    </xf>
    <xf numFmtId="0" fontId="57" fillId="0" borderId="1" xfId="2" applyNumberFormat="1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7" fillId="0" borderId="1" xfId="109" applyFont="1" applyFill="1" applyBorder="1" applyAlignment="1" applyProtection="1">
      <alignment vertical="center"/>
    </xf>
    <xf numFmtId="167" fontId="63" fillId="0" borderId="1" xfId="109" applyNumberFormat="1" applyFont="1" applyFill="1" applyBorder="1" applyAlignment="1" applyProtection="1">
      <alignment vertical="center"/>
    </xf>
    <xf numFmtId="9" fontId="63" fillId="0" borderId="1" xfId="109" applyNumberFormat="1" applyFont="1" applyFill="1" applyBorder="1" applyAlignment="1" applyProtection="1">
      <alignment vertical="center"/>
    </xf>
    <xf numFmtId="0" fontId="6" fillId="3" borderId="52" xfId="4" applyFont="1" applyFill="1" applyBorder="1" applyAlignment="1" applyProtection="1">
      <alignment horizontal="center" vertical="center"/>
      <protection locked="0"/>
    </xf>
    <xf numFmtId="9" fontId="44" fillId="0" borderId="1" xfId="4" applyNumberFormat="1" applyFont="1" applyFill="1" applyBorder="1" applyAlignment="1" applyProtection="1">
      <alignment horizontal="center" vertical="center"/>
    </xf>
    <xf numFmtId="0" fontId="5" fillId="0" borderId="1" xfId="109" applyFont="1" applyFill="1" applyBorder="1" applyAlignment="1" applyProtection="1">
      <alignment horizontal="center" vertical="center"/>
    </xf>
    <xf numFmtId="0" fontId="41" fillId="0" borderId="4" xfId="109" applyFont="1" applyFill="1" applyBorder="1" applyAlignment="1" applyProtection="1">
      <alignment horizontal="center" vertical="center"/>
    </xf>
    <xf numFmtId="0" fontId="41" fillId="0" borderId="4" xfId="109" applyFont="1" applyFill="1" applyBorder="1" applyAlignment="1" applyProtection="1">
      <alignment horizontal="center" vertical="center"/>
      <protection locked="0"/>
    </xf>
    <xf numFmtId="0" fontId="41" fillId="0" borderId="3" xfId="109" applyFont="1" applyFill="1" applyBorder="1" applyAlignment="1" applyProtection="1">
      <alignment horizontal="center" vertical="center"/>
      <protection locked="0"/>
    </xf>
    <xf numFmtId="0" fontId="41" fillId="0" borderId="4" xfId="109" applyFont="1" applyFill="1" applyBorder="1" applyAlignment="1" applyProtection="1">
      <alignment horizontal="center" vertical="center"/>
    </xf>
    <xf numFmtId="0" fontId="41" fillId="0" borderId="5" xfId="109" applyFont="1" applyFill="1" applyBorder="1" applyAlignment="1" applyProtection="1">
      <alignment horizontal="center" vertical="center"/>
    </xf>
    <xf numFmtId="0" fontId="1" fillId="0" borderId="21" xfId="2" applyFont="1" applyBorder="1" applyAlignment="1" applyProtection="1">
      <alignment horizontal="center" vertical="center"/>
    </xf>
    <xf numFmtId="0" fontId="1" fillId="0" borderId="0" xfId="2" applyFont="1" applyBorder="1" applyAlignment="1" applyProtection="1">
      <alignment horizontal="center" vertical="center"/>
    </xf>
    <xf numFmtId="0" fontId="1" fillId="0" borderId="14" xfId="2" applyFont="1" applyBorder="1" applyAlignment="1" applyProtection="1">
      <alignment horizontal="center" vertical="center"/>
    </xf>
    <xf numFmtId="0" fontId="41" fillId="3" borderId="3" xfId="109" applyFont="1" applyFill="1" applyBorder="1" applyAlignment="1" applyProtection="1">
      <alignment horizontal="left"/>
    </xf>
    <xf numFmtId="0" fontId="41" fillId="3" borderId="4" xfId="109" applyFont="1" applyFill="1" applyBorder="1" applyAlignment="1" applyProtection="1">
      <alignment horizontal="left"/>
    </xf>
    <xf numFmtId="0" fontId="41" fillId="0" borderId="4" xfId="109" applyFont="1" applyFill="1" applyBorder="1" applyAlignment="1" applyProtection="1">
      <alignment horizontal="center" vertical="center"/>
      <protection locked="0"/>
    </xf>
    <xf numFmtId="15" fontId="9" fillId="0" borderId="3" xfId="109" applyNumberFormat="1" applyFont="1" applyFill="1" applyBorder="1" applyAlignment="1" applyProtection="1">
      <alignment horizontal="left" vertical="center"/>
      <protection locked="0"/>
    </xf>
    <xf numFmtId="15" fontId="9" fillId="0" borderId="4" xfId="109" quotePrefix="1" applyNumberFormat="1" applyFont="1" applyFill="1" applyBorder="1" applyAlignment="1" applyProtection="1">
      <alignment horizontal="left" vertical="center"/>
      <protection locked="0"/>
    </xf>
    <xf numFmtId="0" fontId="41" fillId="0" borderId="3" xfId="109" applyFont="1" applyFill="1" applyBorder="1" applyAlignment="1" applyProtection="1">
      <alignment horizontal="center" vertical="center"/>
      <protection locked="0"/>
    </xf>
    <xf numFmtId="0" fontId="43" fillId="23" borderId="3" xfId="109" applyFont="1" applyFill="1" applyBorder="1" applyAlignment="1" applyProtection="1">
      <alignment horizontal="center" vertical="center"/>
    </xf>
    <xf numFmtId="0" fontId="43" fillId="23" borderId="4" xfId="109" applyFont="1" applyFill="1" applyBorder="1" applyAlignment="1" applyProtection="1">
      <alignment horizontal="center" vertical="center"/>
    </xf>
    <xf numFmtId="0" fontId="5" fillId="0" borderId="1" xfId="109" applyFont="1" applyFill="1" applyBorder="1" applyAlignment="1" applyProtection="1">
      <alignment horizontal="center" vertical="center"/>
    </xf>
    <xf numFmtId="0" fontId="6" fillId="0" borderId="1" xfId="2" applyFont="1" applyBorder="1" applyAlignment="1" applyProtection="1">
      <alignment vertical="center"/>
    </xf>
    <xf numFmtId="0" fontId="7" fillId="0" borderId="3" xfId="2" applyFont="1" applyBorder="1" applyAlignment="1" applyProtection="1">
      <alignment horizontal="left" vertical="center"/>
    </xf>
    <xf numFmtId="0" fontId="7" fillId="0" borderId="4" xfId="2" applyFont="1" applyBorder="1" applyAlignment="1" applyProtection="1">
      <alignment horizontal="left" vertical="center"/>
    </xf>
    <xf numFmtId="0" fontId="7" fillId="0" borderId="5" xfId="2" applyFont="1" applyBorder="1" applyAlignment="1" applyProtection="1">
      <alignment horizontal="left" vertical="center"/>
    </xf>
    <xf numFmtId="0" fontId="59" fillId="0" borderId="40" xfId="2" applyFont="1" applyBorder="1" applyAlignment="1" applyProtection="1">
      <alignment horizontal="center" vertical="center"/>
    </xf>
    <xf numFmtId="0" fontId="59" fillId="0" borderId="41" xfId="2" applyFont="1" applyBorder="1" applyAlignment="1" applyProtection="1">
      <alignment horizontal="center" vertical="center"/>
    </xf>
    <xf numFmtId="0" fontId="59" fillId="0" borderId="42" xfId="2" applyFont="1" applyBorder="1" applyAlignment="1" applyProtection="1">
      <alignment horizontal="center" vertical="center"/>
    </xf>
    <xf numFmtId="0" fontId="59" fillId="0" borderId="40" xfId="4" applyFont="1" applyFill="1" applyBorder="1" applyAlignment="1" applyProtection="1">
      <alignment horizontal="center" vertical="center"/>
    </xf>
    <xf numFmtId="0" fontId="59" fillId="0" borderId="41" xfId="4" applyFont="1" applyFill="1" applyBorder="1" applyAlignment="1" applyProtection="1">
      <alignment horizontal="center" vertical="center"/>
    </xf>
    <xf numFmtId="0" fontId="59" fillId="0" borderId="42" xfId="4" applyFont="1" applyFill="1" applyBorder="1" applyAlignment="1" applyProtection="1">
      <alignment horizontal="center" vertical="center"/>
    </xf>
    <xf numFmtId="0" fontId="1" fillId="0" borderId="18" xfId="2" applyFont="1" applyBorder="1" applyAlignment="1" applyProtection="1">
      <alignment horizontal="center" vertical="center"/>
    </xf>
    <xf numFmtId="0" fontId="1" fillId="0" borderId="2" xfId="2" applyFont="1" applyBorder="1" applyAlignment="1" applyProtection="1">
      <alignment horizontal="center" vertical="center"/>
    </xf>
    <xf numFmtId="0" fontId="1" fillId="0" borderId="27" xfId="2" applyFont="1" applyBorder="1" applyAlignment="1" applyProtection="1">
      <alignment horizontal="center" vertical="center"/>
    </xf>
    <xf numFmtId="0" fontId="64" fillId="0" borderId="19" xfId="2" applyFont="1" applyBorder="1" applyAlignment="1" applyProtection="1">
      <alignment horizontal="center" vertical="center"/>
    </xf>
    <xf numFmtId="0" fontId="64" fillId="0" borderId="6" xfId="2" applyFont="1" applyBorder="1" applyAlignment="1" applyProtection="1">
      <alignment horizontal="center" vertical="center"/>
    </xf>
    <xf numFmtId="0" fontId="64" fillId="0" borderId="49" xfId="2" applyFont="1" applyBorder="1" applyAlignment="1" applyProtection="1">
      <alignment horizontal="center" vertical="center"/>
    </xf>
    <xf numFmtId="0" fontId="64" fillId="0" borderId="21" xfId="2" applyFont="1" applyBorder="1" applyAlignment="1" applyProtection="1">
      <alignment horizontal="center" vertical="center"/>
    </xf>
    <xf numFmtId="0" fontId="64" fillId="0" borderId="0" xfId="2" applyFont="1" applyBorder="1" applyAlignment="1" applyProtection="1">
      <alignment horizontal="center" vertical="center"/>
    </xf>
    <xf numFmtId="0" fontId="64" fillId="0" borderId="14" xfId="2" applyFont="1" applyBorder="1" applyAlignment="1" applyProtection="1">
      <alignment horizontal="center" vertical="center"/>
    </xf>
    <xf numFmtId="0" fontId="64" fillId="0" borderId="15" xfId="2" applyFont="1" applyBorder="1" applyAlignment="1" applyProtection="1">
      <alignment horizontal="center" vertical="center"/>
    </xf>
    <xf numFmtId="0" fontId="64" fillId="0" borderId="16" xfId="2" applyFont="1" applyBorder="1" applyAlignment="1" applyProtection="1">
      <alignment horizontal="center" vertical="center"/>
    </xf>
    <xf numFmtId="0" fontId="64" fillId="0" borderId="17" xfId="2" applyFont="1" applyBorder="1" applyAlignment="1" applyProtection="1">
      <alignment horizontal="center" vertical="center"/>
    </xf>
    <xf numFmtId="0" fontId="5" fillId="0" borderId="24" xfId="109" applyFont="1" applyFill="1" applyBorder="1" applyAlignment="1" applyProtection="1">
      <alignment horizontal="center" vertical="center"/>
    </xf>
    <xf numFmtId="0" fontId="5" fillId="0" borderId="25" xfId="109" applyFont="1" applyFill="1" applyBorder="1" applyAlignment="1" applyProtection="1">
      <alignment horizontal="center" vertical="center"/>
    </xf>
    <xf numFmtId="0" fontId="5" fillId="0" borderId="26" xfId="109" applyFont="1" applyFill="1" applyBorder="1" applyAlignment="1" applyProtection="1">
      <alignment horizontal="center" vertical="center"/>
    </xf>
    <xf numFmtId="0" fontId="5" fillId="0" borderId="15" xfId="109" applyFont="1" applyFill="1" applyBorder="1" applyAlignment="1" applyProtection="1">
      <alignment horizontal="center" vertical="center"/>
    </xf>
    <xf numFmtId="0" fontId="5" fillId="0" borderId="16" xfId="109" applyFont="1" applyFill="1" applyBorder="1" applyAlignment="1" applyProtection="1">
      <alignment horizontal="center" vertical="center"/>
    </xf>
    <xf numFmtId="0" fontId="5" fillId="0" borderId="17" xfId="109" applyFont="1" applyFill="1" applyBorder="1" applyAlignment="1" applyProtection="1">
      <alignment horizontal="center" vertical="center"/>
    </xf>
    <xf numFmtId="0" fontId="60" fillId="0" borderId="24" xfId="2" applyFont="1" applyBorder="1" applyAlignment="1" applyProtection="1">
      <alignment horizontal="center" vertical="center"/>
      <protection locked="0"/>
    </xf>
    <xf numFmtId="0" fontId="60" fillId="0" borderId="25" xfId="2" applyFont="1" applyBorder="1" applyAlignment="1" applyProtection="1">
      <alignment horizontal="center" vertical="center"/>
      <protection locked="0"/>
    </xf>
    <xf numFmtId="0" fontId="60" fillId="0" borderId="26" xfId="2" applyFont="1" applyBorder="1" applyAlignment="1" applyProtection="1">
      <alignment horizontal="center" vertical="center"/>
      <protection locked="0"/>
    </xf>
    <xf numFmtId="0" fontId="60" fillId="0" borderId="15" xfId="2" applyFont="1" applyBorder="1" applyAlignment="1" applyProtection="1">
      <alignment horizontal="center" vertical="center"/>
      <protection locked="0"/>
    </xf>
    <xf numFmtId="0" fontId="60" fillId="0" borderId="16" xfId="2" applyFont="1" applyBorder="1" applyAlignment="1" applyProtection="1">
      <alignment horizontal="center" vertical="center"/>
      <protection locked="0"/>
    </xf>
    <xf numFmtId="0" fontId="60" fillId="0" borderId="17" xfId="2" applyFont="1" applyBorder="1" applyAlignment="1" applyProtection="1">
      <alignment horizontal="center" vertical="center"/>
      <protection locked="0"/>
    </xf>
    <xf numFmtId="0" fontId="9" fillId="0" borderId="24" xfId="2" applyFont="1" applyBorder="1" applyAlignment="1" applyProtection="1">
      <alignment vertical="center" wrapText="1"/>
    </xf>
    <xf numFmtId="0" fontId="1" fillId="0" borderId="25" xfId="2" applyBorder="1" applyAlignment="1" applyProtection="1">
      <alignment vertical="center" wrapText="1"/>
    </xf>
    <xf numFmtId="0" fontId="1" fillId="0" borderId="21" xfId="2" applyBorder="1" applyAlignment="1" applyProtection="1">
      <alignment vertical="center" wrapText="1"/>
    </xf>
    <xf numFmtId="0" fontId="1" fillId="0" borderId="0" xfId="2" applyBorder="1" applyAlignment="1" applyProtection="1">
      <alignment vertical="center" wrapText="1"/>
    </xf>
    <xf numFmtId="0" fontId="1" fillId="0" borderId="15" xfId="2" applyBorder="1" applyAlignment="1" applyProtection="1">
      <alignment vertical="center" wrapText="1"/>
    </xf>
    <xf numFmtId="0" fontId="1" fillId="0" borderId="16" xfId="2" applyBorder="1" applyAlignment="1" applyProtection="1">
      <alignment vertical="center" wrapText="1"/>
    </xf>
    <xf numFmtId="2" fontId="46" fillId="3" borderId="24" xfId="109" applyNumberFormat="1" applyFont="1" applyFill="1" applyBorder="1" applyAlignment="1" applyProtection="1">
      <alignment horizontal="center" vertical="center"/>
    </xf>
    <xf numFmtId="0" fontId="47" fillId="3" borderId="25" xfId="2" applyFont="1" applyFill="1" applyBorder="1" applyAlignment="1" applyProtection="1">
      <alignment horizontal="center" vertical="center"/>
    </xf>
    <xf numFmtId="0" fontId="47" fillId="3" borderId="26" xfId="2" applyFont="1" applyFill="1" applyBorder="1" applyAlignment="1" applyProtection="1">
      <alignment horizontal="center" vertical="center"/>
    </xf>
    <xf numFmtId="0" fontId="47" fillId="3" borderId="21" xfId="2" applyFont="1" applyFill="1" applyBorder="1" applyAlignment="1" applyProtection="1">
      <alignment horizontal="center" vertical="center"/>
    </xf>
    <xf numFmtId="0" fontId="47" fillId="3" borderId="0" xfId="2" applyFont="1" applyFill="1" applyBorder="1" applyAlignment="1" applyProtection="1">
      <alignment horizontal="center" vertical="center"/>
    </xf>
    <xf numFmtId="0" fontId="47" fillId="3" borderId="14" xfId="2" applyFont="1" applyFill="1" applyBorder="1" applyAlignment="1" applyProtection="1">
      <alignment horizontal="center" vertical="center"/>
    </xf>
    <xf numFmtId="0" fontId="47" fillId="3" borderId="15" xfId="2" applyFont="1" applyFill="1" applyBorder="1" applyAlignment="1" applyProtection="1">
      <alignment horizontal="center" vertical="center"/>
    </xf>
    <xf numFmtId="0" fontId="47" fillId="3" borderId="16" xfId="2" applyFont="1" applyFill="1" applyBorder="1" applyAlignment="1" applyProtection="1">
      <alignment horizontal="center" vertical="center"/>
    </xf>
    <xf numFmtId="0" fontId="47" fillId="3" borderId="17" xfId="2" applyFont="1" applyFill="1" applyBorder="1" applyAlignment="1" applyProtection="1">
      <alignment horizontal="center" vertical="center"/>
    </xf>
    <xf numFmtId="2" fontId="9" fillId="0" borderId="24" xfId="109" applyNumberFormat="1" applyFont="1" applyFill="1" applyBorder="1" applyAlignment="1" applyProtection="1">
      <alignment horizontal="center" vertical="center"/>
    </xf>
    <xf numFmtId="0" fontId="1" fillId="0" borderId="25" xfId="2" applyBorder="1" applyAlignment="1" applyProtection="1">
      <alignment horizontal="center" vertical="center"/>
    </xf>
    <xf numFmtId="0" fontId="1" fillId="0" borderId="26" xfId="2" applyBorder="1" applyAlignment="1" applyProtection="1">
      <alignment horizontal="center" vertical="center"/>
    </xf>
    <xf numFmtId="0" fontId="1" fillId="0" borderId="21" xfId="2" applyBorder="1" applyAlignment="1" applyProtection="1">
      <alignment horizontal="center" vertical="center"/>
    </xf>
    <xf numFmtId="0" fontId="1" fillId="0" borderId="0" xfId="2" applyAlignment="1" applyProtection="1">
      <alignment horizontal="center" vertical="center"/>
    </xf>
    <xf numFmtId="0" fontId="1" fillId="0" borderId="14" xfId="2" applyBorder="1" applyAlignment="1" applyProtection="1">
      <alignment horizontal="center" vertical="center"/>
    </xf>
    <xf numFmtId="0" fontId="1" fillId="0" borderId="15" xfId="2" applyBorder="1" applyAlignment="1" applyProtection="1">
      <alignment horizontal="center" vertical="center"/>
    </xf>
    <xf numFmtId="0" fontId="1" fillId="0" borderId="16" xfId="2" applyBorder="1" applyAlignment="1" applyProtection="1">
      <alignment horizontal="center" vertical="center"/>
    </xf>
    <xf numFmtId="0" fontId="1" fillId="0" borderId="17" xfId="2" applyBorder="1" applyAlignment="1" applyProtection="1">
      <alignment horizontal="center" vertical="center"/>
    </xf>
    <xf numFmtId="0" fontId="48" fillId="3" borderId="24" xfId="109" applyFont="1" applyFill="1" applyBorder="1" applyAlignment="1" applyProtection="1">
      <alignment horizontal="center" vertical="center"/>
      <protection locked="0"/>
    </xf>
    <xf numFmtId="0" fontId="1" fillId="0" borderId="25" xfId="2" applyBorder="1" applyProtection="1">
      <protection locked="0"/>
    </xf>
    <xf numFmtId="0" fontId="1" fillId="0" borderId="26" xfId="2" applyBorder="1" applyProtection="1">
      <protection locked="0"/>
    </xf>
    <xf numFmtId="0" fontId="1" fillId="0" borderId="21" xfId="2" applyBorder="1" applyProtection="1">
      <protection locked="0"/>
    </xf>
    <xf numFmtId="0" fontId="1" fillId="0" borderId="0" xfId="2" applyProtection="1">
      <protection locked="0"/>
    </xf>
    <xf numFmtId="0" fontId="1" fillId="0" borderId="14" xfId="2" applyBorder="1" applyProtection="1">
      <protection locked="0"/>
    </xf>
    <xf numFmtId="0" fontId="49" fillId="0" borderId="24" xfId="109" applyFont="1" applyFill="1" applyBorder="1" applyAlignment="1" applyProtection="1">
      <alignment horizontal="center" vertical="center"/>
    </xf>
    <xf numFmtId="0" fontId="49" fillId="0" borderId="26" xfId="109" applyFont="1" applyFill="1" applyBorder="1" applyAlignment="1" applyProtection="1">
      <alignment horizontal="center" vertical="center"/>
    </xf>
    <xf numFmtId="0" fontId="49" fillId="0" borderId="21" xfId="109" applyFont="1" applyFill="1" applyBorder="1" applyAlignment="1" applyProtection="1">
      <alignment horizontal="center" vertical="center"/>
    </xf>
    <xf numFmtId="0" fontId="49" fillId="0" borderId="14" xfId="109" applyFont="1" applyFill="1" applyBorder="1" applyAlignment="1" applyProtection="1">
      <alignment horizontal="center" vertical="center"/>
    </xf>
    <xf numFmtId="0" fontId="49" fillId="0" borderId="15" xfId="109" applyFont="1" applyFill="1" applyBorder="1" applyAlignment="1" applyProtection="1">
      <alignment horizontal="center" vertical="center"/>
    </xf>
    <xf numFmtId="0" fontId="49" fillId="0" borderId="17" xfId="109" applyFont="1" applyFill="1" applyBorder="1" applyAlignment="1" applyProtection="1">
      <alignment horizontal="center" vertical="center"/>
    </xf>
    <xf numFmtId="0" fontId="50" fillId="0" borderId="21" xfId="109" applyFont="1" applyFill="1" applyBorder="1" applyAlignment="1" applyProtection="1">
      <alignment horizontal="center" vertical="center"/>
    </xf>
    <xf numFmtId="0" fontId="61" fillId="0" borderId="0" xfId="2" applyFont="1" applyProtection="1"/>
    <xf numFmtId="0" fontId="61" fillId="0" borderId="14" xfId="2" applyFont="1" applyBorder="1" applyProtection="1"/>
    <xf numFmtId="0" fontId="61" fillId="0" borderId="21" xfId="2" applyFont="1" applyBorder="1" applyProtection="1"/>
    <xf numFmtId="0" fontId="61" fillId="0" borderId="15" xfId="2" applyFont="1" applyBorder="1" applyProtection="1"/>
    <xf numFmtId="0" fontId="61" fillId="0" borderId="16" xfId="2" applyFont="1" applyBorder="1" applyProtection="1"/>
    <xf numFmtId="0" fontId="61" fillId="0" borderId="17" xfId="2" applyFont="1" applyBorder="1" applyProtection="1"/>
  </cellXfs>
  <cellStyles count="145">
    <cellStyle name="?????????????????" xfId="7" xr:uid="{00000000-0005-0000-0000-000000000000}"/>
    <cellStyle name="????????????????? [0]_NEGS" xfId="8" xr:uid="{00000000-0005-0000-0000-000001000000}"/>
    <cellStyle name="??????????????????? [0]_NEGS" xfId="9" xr:uid="{00000000-0005-0000-0000-000002000000}"/>
    <cellStyle name="???????????????????????" xfId="10" xr:uid="{00000000-0005-0000-0000-000003000000}"/>
    <cellStyle name="???????????????????_NEGS" xfId="11" xr:uid="{00000000-0005-0000-0000-000004000000}"/>
    <cellStyle name="?????????????????_NEGS" xfId="12" xr:uid="{00000000-0005-0000-0000-000005000000}"/>
    <cellStyle name="??_??" xfId="13" xr:uid="{00000000-0005-0000-0000-000006000000}"/>
    <cellStyle name="20% - アクセント 1" xfId="14" xr:uid="{00000000-0005-0000-0000-000007000000}"/>
    <cellStyle name="20% - アクセント 2" xfId="15" xr:uid="{00000000-0005-0000-0000-000008000000}"/>
    <cellStyle name="20% - アクセント 3" xfId="16" xr:uid="{00000000-0005-0000-0000-000009000000}"/>
    <cellStyle name="20% - アクセント 4" xfId="17" xr:uid="{00000000-0005-0000-0000-00000A000000}"/>
    <cellStyle name="20% - アクセント 5" xfId="18" xr:uid="{00000000-0005-0000-0000-00000B000000}"/>
    <cellStyle name="20% - アクセント 6" xfId="19" xr:uid="{00000000-0005-0000-0000-00000C000000}"/>
    <cellStyle name="40% - アクセント 1" xfId="20" xr:uid="{00000000-0005-0000-0000-00000D000000}"/>
    <cellStyle name="40% - アクセント 2" xfId="21" xr:uid="{00000000-0005-0000-0000-00000E000000}"/>
    <cellStyle name="40% - アクセント 3" xfId="22" xr:uid="{00000000-0005-0000-0000-00000F000000}"/>
    <cellStyle name="40% - アクセント 4" xfId="23" xr:uid="{00000000-0005-0000-0000-000010000000}"/>
    <cellStyle name="40% - アクセント 5" xfId="24" xr:uid="{00000000-0005-0000-0000-000011000000}"/>
    <cellStyle name="40% - アクセント 6" xfId="25" xr:uid="{00000000-0005-0000-0000-000012000000}"/>
    <cellStyle name="60% - アクセント 1" xfId="26" xr:uid="{00000000-0005-0000-0000-000013000000}"/>
    <cellStyle name="60% - アクセント 2" xfId="27" xr:uid="{00000000-0005-0000-0000-000014000000}"/>
    <cellStyle name="60% - アクセント 3" xfId="28" xr:uid="{00000000-0005-0000-0000-000015000000}"/>
    <cellStyle name="60% - アクセント 4" xfId="29" xr:uid="{00000000-0005-0000-0000-000016000000}"/>
    <cellStyle name="60% - アクセント 5" xfId="30" xr:uid="{00000000-0005-0000-0000-000017000000}"/>
    <cellStyle name="60% - アクセント 6" xfId="31" xr:uid="{00000000-0005-0000-0000-000018000000}"/>
    <cellStyle name="Calc Currency (0)" xfId="32" xr:uid="{00000000-0005-0000-0000-000019000000}"/>
    <cellStyle name="Calc Currency (2)" xfId="33" xr:uid="{00000000-0005-0000-0000-00001A000000}"/>
    <cellStyle name="Calc Percent (0)" xfId="34" xr:uid="{00000000-0005-0000-0000-00001B000000}"/>
    <cellStyle name="Calc Percent (1)" xfId="35" xr:uid="{00000000-0005-0000-0000-00001C000000}"/>
    <cellStyle name="Calc Percent (2)" xfId="36" xr:uid="{00000000-0005-0000-0000-00001D000000}"/>
    <cellStyle name="Calc Units (0)" xfId="37" xr:uid="{00000000-0005-0000-0000-00001E000000}"/>
    <cellStyle name="Calc Units (1)" xfId="38" xr:uid="{00000000-0005-0000-0000-00001F000000}"/>
    <cellStyle name="Calc Units (2)" xfId="39" xr:uid="{00000000-0005-0000-0000-000020000000}"/>
    <cellStyle name="Comma [00]" xfId="40" xr:uid="{00000000-0005-0000-0000-000021000000}"/>
    <cellStyle name="Currency [00]" xfId="41" xr:uid="{00000000-0005-0000-0000-000022000000}"/>
    <cellStyle name="Date Short" xfId="42" xr:uid="{00000000-0005-0000-0000-000023000000}"/>
    <cellStyle name="DELTA" xfId="43" xr:uid="{00000000-0005-0000-0000-000024000000}"/>
    <cellStyle name="Enter Currency (0)" xfId="44" xr:uid="{00000000-0005-0000-0000-000025000000}"/>
    <cellStyle name="Enter Currency (2)" xfId="45" xr:uid="{00000000-0005-0000-0000-000026000000}"/>
    <cellStyle name="Enter Units (0)" xfId="46" xr:uid="{00000000-0005-0000-0000-000027000000}"/>
    <cellStyle name="Enter Units (1)" xfId="47" xr:uid="{00000000-0005-0000-0000-000028000000}"/>
    <cellStyle name="Enter Units (2)" xfId="48" xr:uid="{00000000-0005-0000-0000-000029000000}"/>
    <cellStyle name="Grey" xfId="49" xr:uid="{00000000-0005-0000-0000-00002A000000}"/>
    <cellStyle name="Header1" xfId="50" xr:uid="{00000000-0005-0000-0000-00002B000000}"/>
    <cellStyle name="Header2" xfId="51" xr:uid="{00000000-0005-0000-0000-00002C000000}"/>
    <cellStyle name="Input [yellow]" xfId="52" xr:uid="{00000000-0005-0000-0000-00002D000000}"/>
    <cellStyle name="Link Currency (0)" xfId="53" xr:uid="{00000000-0005-0000-0000-00002E000000}"/>
    <cellStyle name="Link Currency (2)" xfId="54" xr:uid="{00000000-0005-0000-0000-00002F000000}"/>
    <cellStyle name="Link Units (0)" xfId="55" xr:uid="{00000000-0005-0000-0000-000030000000}"/>
    <cellStyle name="Link Units (1)" xfId="56" xr:uid="{00000000-0005-0000-0000-000031000000}"/>
    <cellStyle name="Link Units (2)" xfId="57" xr:uid="{00000000-0005-0000-0000-000032000000}"/>
    <cellStyle name="Normal" xfId="0" builtinId="0"/>
    <cellStyle name="Normal - Style1" xfId="58" xr:uid="{00000000-0005-0000-0000-000033000000}"/>
    <cellStyle name="Normal 2" xfId="2" xr:uid="{00000000-0005-0000-0000-000034000000}"/>
    <cellStyle name="Normal 3" xfId="3" xr:uid="{00000000-0005-0000-0000-000035000000}"/>
    <cellStyle name="Normal 3 2" xfId="108" xr:uid="{00000000-0005-0000-0000-000036000000}"/>
    <cellStyle name="Normal 4" xfId="5" xr:uid="{00000000-0005-0000-0000-000037000000}"/>
    <cellStyle name="Normal 5" xfId="142" xr:uid="{00000000-0005-0000-0000-000038000000}"/>
    <cellStyle name="Normal 6" xfId="143" xr:uid="{00000000-0005-0000-0000-000039000000}"/>
    <cellStyle name="Normal_Datasheet 30 for manual 2" xfId="109" xr:uid="{00000000-0005-0000-0000-00003A000000}"/>
    <cellStyle name="Normal_Outgoing AF002" xfId="4" xr:uid="{00000000-0005-0000-0000-00003B000000}"/>
    <cellStyle name="Percent [0]" xfId="59" xr:uid="{00000000-0005-0000-0000-00003C000000}"/>
    <cellStyle name="Percent [00]" xfId="60" xr:uid="{00000000-0005-0000-0000-00003D000000}"/>
    <cellStyle name="Percent [2]" xfId="61" xr:uid="{00000000-0005-0000-0000-00003E000000}"/>
    <cellStyle name="Percent 2" xfId="6" xr:uid="{00000000-0005-0000-0000-00003F000000}"/>
    <cellStyle name="Percent 3" xfId="144" xr:uid="{00000000-0005-0000-0000-000040000000}"/>
    <cellStyle name="PrePop Currency (0)" xfId="62" xr:uid="{00000000-0005-0000-0000-000041000000}"/>
    <cellStyle name="PrePop Currency (2)" xfId="63" xr:uid="{00000000-0005-0000-0000-000042000000}"/>
    <cellStyle name="PrePop Units (0)" xfId="64" xr:uid="{00000000-0005-0000-0000-000043000000}"/>
    <cellStyle name="PrePop Units (1)" xfId="65" xr:uid="{00000000-0005-0000-0000-000044000000}"/>
    <cellStyle name="PrePop Units (2)" xfId="66" xr:uid="{00000000-0005-0000-0000-000045000000}"/>
    <cellStyle name="PSChar" xfId="67" xr:uid="{00000000-0005-0000-0000-000046000000}"/>
    <cellStyle name="PSDate" xfId="68" xr:uid="{00000000-0005-0000-0000-000047000000}"/>
    <cellStyle name="PSDec" xfId="69" xr:uid="{00000000-0005-0000-0000-000048000000}"/>
    <cellStyle name="PSHeading" xfId="70" xr:uid="{00000000-0005-0000-0000-000049000000}"/>
    <cellStyle name="PSInt" xfId="71" xr:uid="{00000000-0005-0000-0000-00004A000000}"/>
    <cellStyle name="PSSpacer" xfId="72" xr:uid="{00000000-0005-0000-0000-00004B000000}"/>
    <cellStyle name="Text Indent A" xfId="73" xr:uid="{00000000-0005-0000-0000-00004C000000}"/>
    <cellStyle name="Text Indent B" xfId="74" xr:uid="{00000000-0005-0000-0000-00004D000000}"/>
    <cellStyle name="Text Indent C" xfId="75" xr:uid="{00000000-0005-0000-0000-00004E000000}"/>
    <cellStyle name="アクセント 1" xfId="76" xr:uid="{00000000-0005-0000-0000-00004F000000}"/>
    <cellStyle name="アクセント 2" xfId="77" xr:uid="{00000000-0005-0000-0000-000050000000}"/>
    <cellStyle name="アクセント 3" xfId="78" xr:uid="{00000000-0005-0000-0000-000051000000}"/>
    <cellStyle name="アクセント 4" xfId="79" xr:uid="{00000000-0005-0000-0000-000052000000}"/>
    <cellStyle name="アクセント 5" xfId="80" xr:uid="{00000000-0005-0000-0000-000053000000}"/>
    <cellStyle name="アクセント 6" xfId="81" xr:uid="{00000000-0005-0000-0000-000054000000}"/>
    <cellStyle name="ｵﾒﾁ｡ﾒﾃ爼ﾗ靉ﾁ篦ｧﾋﾅﾒﾂﾁﾔｵﾔ" xfId="82" xr:uid="{00000000-0005-0000-0000-000055000000}"/>
    <cellStyle name="ｻ｡ｵﾔ_NEGS" xfId="83" xr:uid="{00000000-0005-0000-0000-000056000000}"/>
    <cellStyle name="タイトル" xfId="84" xr:uid="{00000000-0005-0000-0000-000057000000}"/>
    <cellStyle name="チェック セル" xfId="85" xr:uid="{00000000-0005-0000-0000-000058000000}"/>
    <cellStyle name="どちらでもない" xfId="86" xr:uid="{00000000-0005-0000-0000-000059000000}"/>
    <cellStyle name="メモ" xfId="87" xr:uid="{00000000-0005-0000-0000-00005A000000}"/>
    <cellStyle name="リンク セル" xfId="88" xr:uid="{00000000-0005-0000-0000-00005B000000}"/>
    <cellStyle name="เปอร์เซ็นต์ 4" xfId="141" xr:uid="{00000000-0005-0000-0000-00005C000000}"/>
    <cellStyle name="ปกติ 2" xfId="89" xr:uid="{00000000-0005-0000-0000-00005E000000}"/>
    <cellStyle name="ปกติ 2 10" xfId="110" xr:uid="{00000000-0005-0000-0000-00005F000000}"/>
    <cellStyle name="ปกติ 2 11" xfId="111" xr:uid="{00000000-0005-0000-0000-000060000000}"/>
    <cellStyle name="ปกติ 2 12" xfId="112" xr:uid="{00000000-0005-0000-0000-000061000000}"/>
    <cellStyle name="ปกติ 2 13" xfId="113" xr:uid="{00000000-0005-0000-0000-000062000000}"/>
    <cellStyle name="ปกติ 2 14" xfId="114" xr:uid="{00000000-0005-0000-0000-000063000000}"/>
    <cellStyle name="ปกติ 2 2" xfId="115" xr:uid="{00000000-0005-0000-0000-000064000000}"/>
    <cellStyle name="ปกติ 2 3" xfId="116" xr:uid="{00000000-0005-0000-0000-000065000000}"/>
    <cellStyle name="ปกติ 2 4" xfId="117" xr:uid="{00000000-0005-0000-0000-000066000000}"/>
    <cellStyle name="ปกติ 2 4 10" xfId="118" xr:uid="{00000000-0005-0000-0000-000067000000}"/>
    <cellStyle name="ปกติ 2 4 2" xfId="119" xr:uid="{00000000-0005-0000-0000-000068000000}"/>
    <cellStyle name="ปกติ 2 4 2 2" xfId="120" xr:uid="{00000000-0005-0000-0000-000069000000}"/>
    <cellStyle name="ปกติ 2 4 3" xfId="121" xr:uid="{00000000-0005-0000-0000-00006A000000}"/>
    <cellStyle name="ปกติ 2 4 4" xfId="122" xr:uid="{00000000-0005-0000-0000-00006B000000}"/>
    <cellStyle name="ปกติ 2 4 5" xfId="123" xr:uid="{00000000-0005-0000-0000-00006C000000}"/>
    <cellStyle name="ปกติ 2 4 6" xfId="124" xr:uid="{00000000-0005-0000-0000-00006D000000}"/>
    <cellStyle name="ปกติ 2 4 7" xfId="125" xr:uid="{00000000-0005-0000-0000-00006E000000}"/>
    <cellStyle name="ปกติ 2 4 8" xfId="126" xr:uid="{00000000-0005-0000-0000-00006F000000}"/>
    <cellStyle name="ปกติ 2 4 9" xfId="127" xr:uid="{00000000-0005-0000-0000-000070000000}"/>
    <cellStyle name="ปกติ 2 5" xfId="128" xr:uid="{00000000-0005-0000-0000-000071000000}"/>
    <cellStyle name="ปกติ 2 6" xfId="129" xr:uid="{00000000-0005-0000-0000-000072000000}"/>
    <cellStyle name="ปกติ 2 7" xfId="130" xr:uid="{00000000-0005-0000-0000-000073000000}"/>
    <cellStyle name="ปกติ 2 8" xfId="131" xr:uid="{00000000-0005-0000-0000-000074000000}"/>
    <cellStyle name="ปกติ 2 9" xfId="132" xr:uid="{00000000-0005-0000-0000-000075000000}"/>
    <cellStyle name="ปกติ 3" xfId="133" xr:uid="{00000000-0005-0000-0000-000076000000}"/>
    <cellStyle name="ปกติ 3 2" xfId="134" xr:uid="{00000000-0005-0000-0000-000077000000}"/>
    <cellStyle name="ปกติ 3 3" xfId="135" xr:uid="{00000000-0005-0000-0000-000078000000}"/>
    <cellStyle name="ปกติ 4 2" xfId="136" xr:uid="{00000000-0005-0000-0000-000079000000}"/>
    <cellStyle name="ปกติ 4 3" xfId="137" xr:uid="{00000000-0005-0000-0000-00007A000000}"/>
    <cellStyle name="ปกติ 4 4" xfId="138" xr:uid="{00000000-0005-0000-0000-00007B000000}"/>
    <cellStyle name="ปกติ 5 2" xfId="139" xr:uid="{00000000-0005-0000-0000-00007C000000}"/>
    <cellStyle name="ปกติ 6" xfId="140" xr:uid="{00000000-0005-0000-0000-00007D000000}"/>
    <cellStyle name="入力" xfId="90" xr:uid="{00000000-0005-0000-0000-00007E000000}"/>
    <cellStyle name="出力" xfId="91" xr:uid="{00000000-0005-0000-0000-00007F000000}"/>
    <cellStyle name="悪い" xfId="92" xr:uid="{00000000-0005-0000-0000-000080000000}"/>
    <cellStyle name="未定義" xfId="93" xr:uid="{00000000-0005-0000-0000-000081000000}"/>
    <cellStyle name="標準 2" xfId="1" xr:uid="{00000000-0005-0000-0000-000082000000}"/>
    <cellStyle name="爨ﾃﾗ靉ｧﾋﾁﾒﾂｨﾘﾅﾀﾒ､ [0]_NEGS" xfId="94" xr:uid="{00000000-0005-0000-0000-000083000000}"/>
    <cellStyle name="爨ﾃﾗ靉ｧﾋﾁﾒﾂｨﾘﾅﾀﾒ､_NEGS" xfId="95" xr:uid="{00000000-0005-0000-0000-000084000000}"/>
    <cellStyle name="爨ﾃﾗ靉ｧﾋﾁﾒﾂﾊ｡ﾘﾅ爰ﾔｹ [0]_NEGS" xfId="96" xr:uid="{00000000-0005-0000-0000-000085000000}"/>
    <cellStyle name="爨ﾃﾗ靉ｧﾋﾁﾒﾂﾊ｡ﾘﾅ爰ﾔｹ_NEGS" xfId="97" xr:uid="{00000000-0005-0000-0000-000086000000}"/>
    <cellStyle name="爼ﾗ靉ﾁ篦ｧﾋﾅﾒﾂﾁﾔｵﾔ" xfId="98" xr:uid="{00000000-0005-0000-0000-000087000000}"/>
    <cellStyle name="良い" xfId="99" xr:uid="{00000000-0005-0000-0000-000088000000}"/>
    <cellStyle name="見出し 1" xfId="100" xr:uid="{00000000-0005-0000-0000-000089000000}"/>
    <cellStyle name="見出し 2" xfId="101" xr:uid="{00000000-0005-0000-0000-00008A000000}"/>
    <cellStyle name="見出し 3" xfId="102" xr:uid="{00000000-0005-0000-0000-00008B000000}"/>
    <cellStyle name="見出し 4" xfId="103" xr:uid="{00000000-0005-0000-0000-00008C000000}"/>
    <cellStyle name="計算" xfId="104" xr:uid="{00000000-0005-0000-0000-00008D000000}"/>
    <cellStyle name="説明文" xfId="105" xr:uid="{00000000-0005-0000-0000-00008E000000}"/>
    <cellStyle name="警告文" xfId="106" xr:uid="{00000000-0005-0000-0000-00008F000000}"/>
    <cellStyle name="集計" xfId="107" xr:uid="{00000000-0005-0000-0000-000090000000}"/>
  </cellStyles>
  <dxfs count="10">
    <dxf>
      <fill>
        <patternFill>
          <bgColor indexed="9"/>
        </patternFill>
      </fill>
    </dxf>
    <dxf>
      <fill>
        <patternFill>
          <bgColor rgb="FFBDFFFF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19050</xdr:rowOff>
    </xdr:from>
    <xdr:to>
      <xdr:col>1</xdr:col>
      <xdr:colOff>295275</xdr:colOff>
      <xdr:row>0</xdr:row>
      <xdr:rowOff>514350</xdr:rowOff>
    </xdr:to>
    <xdr:pic>
      <xdr:nvPicPr>
        <xdr:cNvPr id="2" name="Picture 33">
          <a:extLst>
            <a:ext uri="{FF2B5EF4-FFF2-40B4-BE49-F238E27FC236}">
              <a16:creationId xmlns:a16="http://schemas.microsoft.com/office/drawing/2014/main" id="{3882110D-7D3C-4C39-B6B2-0F65837AC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38100" y="19050"/>
          <a:ext cx="1057275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19</xdr:col>
      <xdr:colOff>400050</xdr:colOff>
      <xdr:row>66</xdr:row>
      <xdr:rowOff>28575</xdr:rowOff>
    </xdr:from>
    <xdr:to>
      <xdr:col>21</xdr:col>
      <xdr:colOff>619210</xdr:colOff>
      <xdr:row>68</xdr:row>
      <xdr:rowOff>28575</xdr:rowOff>
    </xdr:to>
    <xdr:sp macro="" textlink="">
      <xdr:nvSpPr>
        <xdr:cNvPr id="3" name="Text Box 175">
          <a:extLst>
            <a:ext uri="{FF2B5EF4-FFF2-40B4-BE49-F238E27FC236}">
              <a16:creationId xmlns:a16="http://schemas.microsoft.com/office/drawing/2014/main" id="{D06DE894-A467-4EC9-AA35-23B8D0DD02E5}"/>
            </a:ext>
          </a:extLst>
        </xdr:cNvPr>
        <xdr:cNvSpPr txBox="1">
          <a:spLocks noChangeArrowheads="1"/>
        </xdr:cNvSpPr>
      </xdr:nvSpPr>
      <xdr:spPr bwMode="auto">
        <a:xfrm>
          <a:off x="9144000" y="14595475"/>
          <a:ext cx="1019260" cy="2921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50292" rIns="0" bIns="0" anchor="t" upright="1"/>
        <a:lstStyle/>
        <a:p>
          <a:pPr algn="l" rtl="0">
            <a:defRPr sz="1000"/>
          </a:pPr>
          <a:r>
            <a:rPr lang="th-TH" sz="1400" b="0" i="0" strike="noStrike">
              <a:solidFill>
                <a:srgbClr val="000000"/>
              </a:solidFill>
              <a:latin typeface="Cordia New"/>
              <a:cs typeface="Cordia New"/>
            </a:rPr>
            <a:t>หน่วยวัด : มิลลิเมตร</a:t>
          </a: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0</xdr:col>
      <xdr:colOff>38100</xdr:colOff>
      <xdr:row>29</xdr:row>
      <xdr:rowOff>228600</xdr:rowOff>
    </xdr:from>
    <xdr:to>
      <xdr:col>13</xdr:col>
      <xdr:colOff>361950</xdr:colOff>
      <xdr:row>39</xdr:row>
      <xdr:rowOff>9525</xdr:rowOff>
    </xdr:to>
    <xdr:sp macro="" textlink="">
      <xdr:nvSpPr>
        <xdr:cNvPr id="4" name="Rectangle 32">
          <a:extLst>
            <a:ext uri="{FF2B5EF4-FFF2-40B4-BE49-F238E27FC236}">
              <a16:creationId xmlns:a16="http://schemas.microsoft.com/office/drawing/2014/main" id="{797D0367-AE3D-4CCB-B332-4820C002EE6A}"/>
            </a:ext>
          </a:extLst>
        </xdr:cNvPr>
        <xdr:cNvSpPr>
          <a:spLocks noChangeArrowheads="1"/>
        </xdr:cNvSpPr>
      </xdr:nvSpPr>
      <xdr:spPr bwMode="auto">
        <a:xfrm>
          <a:off x="38100" y="8242300"/>
          <a:ext cx="6661150" cy="22574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219075</xdr:colOff>
      <xdr:row>81</xdr:row>
      <xdr:rowOff>219075</xdr:rowOff>
    </xdr:from>
    <xdr:to>
      <xdr:col>7</xdr:col>
      <xdr:colOff>276225</xdr:colOff>
      <xdr:row>87</xdr:row>
      <xdr:rowOff>85725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710AE097-BA35-42B3-8F0D-91D183E3B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98725" y="18583275"/>
          <a:ext cx="1828800" cy="1581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31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73" t="s">
        <v>472</v>
      </c>
      <c r="C1" s="2" t="s">
        <v>87</v>
      </c>
      <c r="D1" s="1" t="s">
        <v>25</v>
      </c>
    </row>
    <row r="2" spans="1:4" s="1" customFormat="1">
      <c r="A2" s="2">
        <v>2</v>
      </c>
      <c r="B2" s="73" t="s">
        <v>496</v>
      </c>
      <c r="C2" s="2" t="s">
        <v>1</v>
      </c>
    </row>
    <row r="3" spans="1:4" s="1" customFormat="1">
      <c r="A3" s="2">
        <v>3</v>
      </c>
      <c r="B3" s="1" t="s">
        <v>473</v>
      </c>
      <c r="C3" s="2" t="s">
        <v>355</v>
      </c>
    </row>
    <row r="4" spans="1:4" s="1" customFormat="1">
      <c r="A4" s="2">
        <v>4</v>
      </c>
      <c r="B4" s="1" t="s">
        <v>497</v>
      </c>
      <c r="C4" s="2" t="s">
        <v>356</v>
      </c>
    </row>
    <row r="5" spans="1:4" s="1" customFormat="1">
      <c r="A5" s="2">
        <v>5</v>
      </c>
      <c r="B5" s="1">
        <v>1050</v>
      </c>
      <c r="C5" s="2" t="s">
        <v>358</v>
      </c>
    </row>
    <row r="6" spans="1:4" s="1" customFormat="1">
      <c r="A6" s="2">
        <v>6</v>
      </c>
      <c r="B6" s="1" t="s">
        <v>498</v>
      </c>
      <c r="C6" s="2" t="s">
        <v>357</v>
      </c>
    </row>
    <row r="7" spans="1:4" s="1" customFormat="1">
      <c r="A7" s="2">
        <v>7</v>
      </c>
      <c r="B7" s="1" t="s">
        <v>499</v>
      </c>
      <c r="C7" s="2" t="s">
        <v>3</v>
      </c>
    </row>
    <row r="8" spans="1:4" s="1" customFormat="1">
      <c r="A8" s="2">
        <v>8</v>
      </c>
      <c r="B8" s="1" t="s">
        <v>500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359</v>
      </c>
    </row>
    <row r="11" spans="1:4" s="1" customFormat="1">
      <c r="A11" s="2">
        <v>11</v>
      </c>
      <c r="B11" s="160" t="s">
        <v>501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360</v>
      </c>
    </row>
    <row r="14" spans="1:4" s="1" customFormat="1">
      <c r="A14" s="2">
        <v>14</v>
      </c>
      <c r="B14" s="1" t="s">
        <v>502</v>
      </c>
      <c r="C14" s="2" t="s">
        <v>0</v>
      </c>
    </row>
    <row r="15" spans="1:4" s="1" customFormat="1">
      <c r="A15" s="2">
        <v>15</v>
      </c>
      <c r="B15" s="1" t="s">
        <v>474</v>
      </c>
      <c r="C15" s="2" t="s">
        <v>361</v>
      </c>
    </row>
    <row r="16" spans="1:4" s="1" customFormat="1">
      <c r="A16" s="2">
        <v>16</v>
      </c>
      <c r="B16" s="1" t="s">
        <v>503</v>
      </c>
      <c r="C16" s="2" t="s">
        <v>363</v>
      </c>
    </row>
    <row r="17" spans="1:4" s="1" customFormat="1">
      <c r="A17" s="2">
        <v>17</v>
      </c>
      <c r="B17" s="1" t="s">
        <v>504</v>
      </c>
      <c r="C17" s="2" t="s">
        <v>362</v>
      </c>
    </row>
    <row r="18" spans="1:4" s="1" customFormat="1">
      <c r="A18" s="2">
        <v>18</v>
      </c>
      <c r="B18" s="1" t="s">
        <v>493</v>
      </c>
      <c r="C18" s="2" t="s">
        <v>364</v>
      </c>
    </row>
    <row r="19" spans="1:4" s="1" customFormat="1">
      <c r="A19" s="2">
        <v>19</v>
      </c>
      <c r="B19" s="1" t="s">
        <v>497</v>
      </c>
      <c r="C19" s="2" t="s">
        <v>368</v>
      </c>
    </row>
    <row r="20" spans="1:4" s="1" customFormat="1" ht="14.25" thickBot="1">
      <c r="A20" s="2">
        <v>20</v>
      </c>
      <c r="B20" s="1" t="s">
        <v>505</v>
      </c>
      <c r="C20" s="2" t="s">
        <v>27</v>
      </c>
    </row>
    <row r="21" spans="1:4" s="42" customFormat="1">
      <c r="A21" s="3">
        <v>21</v>
      </c>
      <c r="B21" s="44" t="s">
        <v>475</v>
      </c>
      <c r="C21" s="44" t="s">
        <v>91</v>
      </c>
      <c r="D21" s="42" t="s">
        <v>90</v>
      </c>
    </row>
    <row r="22" spans="1:4" s="42" customFormat="1">
      <c r="A22" s="3">
        <v>22</v>
      </c>
      <c r="B22" s="41" t="s">
        <v>476</v>
      </c>
      <c r="C22" s="41" t="s">
        <v>92</v>
      </c>
      <c r="D22" s="42">
        <v>1</v>
      </c>
    </row>
    <row r="23" spans="1:4" s="42" customFormat="1">
      <c r="A23" s="3">
        <v>23</v>
      </c>
      <c r="B23" s="41" t="s">
        <v>371</v>
      </c>
      <c r="C23" s="41" t="s">
        <v>95</v>
      </c>
    </row>
    <row r="24" spans="1:4" s="42" customFormat="1">
      <c r="A24" s="3">
        <v>24</v>
      </c>
      <c r="B24" s="41" t="s">
        <v>371</v>
      </c>
      <c r="C24" s="41" t="s">
        <v>96</v>
      </c>
    </row>
    <row r="25" spans="1:4" s="42" customFormat="1">
      <c r="A25" s="3">
        <v>25</v>
      </c>
      <c r="B25" s="41" t="s">
        <v>371</v>
      </c>
      <c r="C25" s="41" t="s">
        <v>94</v>
      </c>
    </row>
    <row r="26" spans="1:4" s="42" customFormat="1">
      <c r="A26" s="3">
        <v>26</v>
      </c>
      <c r="B26" s="41">
        <v>100</v>
      </c>
      <c r="C26" s="41" t="s">
        <v>93</v>
      </c>
    </row>
    <row r="27" spans="1:4" s="42" customFormat="1">
      <c r="A27" s="3">
        <v>27</v>
      </c>
      <c r="B27" s="41" t="s">
        <v>506</v>
      </c>
      <c r="C27" s="41" t="s">
        <v>97</v>
      </c>
    </row>
    <row r="28" spans="1:4" s="42" customFormat="1">
      <c r="A28" s="3">
        <v>28</v>
      </c>
      <c r="B28" s="41" t="s">
        <v>507</v>
      </c>
      <c r="C28" s="41" t="s">
        <v>101</v>
      </c>
    </row>
    <row r="29" spans="1:4" s="42" customFormat="1">
      <c r="A29" s="3">
        <v>29</v>
      </c>
      <c r="B29" s="41" t="s">
        <v>68</v>
      </c>
      <c r="C29" s="41" t="s">
        <v>66</v>
      </c>
    </row>
    <row r="30" spans="1:4" s="42" customFormat="1" ht="14.25" thickBot="1">
      <c r="A30" s="3">
        <v>30</v>
      </c>
      <c r="B30" s="43"/>
      <c r="C30" s="43" t="s">
        <v>26</v>
      </c>
    </row>
    <row r="31" spans="1:4" s="42" customFormat="1">
      <c r="A31" s="3">
        <v>31</v>
      </c>
      <c r="B31" s="41" t="s">
        <v>477</v>
      </c>
      <c r="C31" s="44" t="s">
        <v>91</v>
      </c>
      <c r="D31" s="42" t="s">
        <v>90</v>
      </c>
    </row>
    <row r="32" spans="1:4" s="42" customFormat="1">
      <c r="A32" s="3">
        <v>32</v>
      </c>
      <c r="B32" s="58">
        <v>14</v>
      </c>
      <c r="C32" s="41" t="s">
        <v>92</v>
      </c>
      <c r="D32" s="42">
        <v>2</v>
      </c>
    </row>
    <row r="33" spans="1:4" s="42" customFormat="1">
      <c r="A33" s="3">
        <v>33</v>
      </c>
      <c r="B33" s="58">
        <v>0.2</v>
      </c>
      <c r="C33" s="41" t="s">
        <v>95</v>
      </c>
    </row>
    <row r="34" spans="1:4" s="42" customFormat="1">
      <c r="A34" s="3">
        <v>34</v>
      </c>
      <c r="B34" s="58">
        <v>0.2</v>
      </c>
      <c r="C34" s="41" t="s">
        <v>96</v>
      </c>
    </row>
    <row r="35" spans="1:4" s="42" customFormat="1">
      <c r="A35" s="3">
        <v>35</v>
      </c>
      <c r="B35" s="41">
        <v>16</v>
      </c>
      <c r="C35" s="41" t="s">
        <v>94</v>
      </c>
    </row>
    <row r="36" spans="1:4" s="42" customFormat="1">
      <c r="A36" s="3">
        <v>36</v>
      </c>
      <c r="B36" s="41">
        <v>11</v>
      </c>
      <c r="C36" s="41" t="s">
        <v>93</v>
      </c>
    </row>
    <row r="37" spans="1:4" s="42" customFormat="1">
      <c r="A37" s="3">
        <v>37</v>
      </c>
      <c r="B37" s="41" t="s">
        <v>506</v>
      </c>
      <c r="C37" s="41" t="s">
        <v>97</v>
      </c>
    </row>
    <row r="38" spans="1:4" s="42" customFormat="1">
      <c r="A38" s="3">
        <v>38</v>
      </c>
      <c r="B38" s="41" t="s">
        <v>507</v>
      </c>
      <c r="C38" s="41" t="s">
        <v>101</v>
      </c>
    </row>
    <row r="39" spans="1:4" s="42" customFormat="1">
      <c r="A39" s="3">
        <v>39</v>
      </c>
      <c r="B39" s="41" t="s">
        <v>68</v>
      </c>
      <c r="C39" s="41" t="s">
        <v>66</v>
      </c>
    </row>
    <row r="40" spans="1:4" s="42" customFormat="1" ht="14.25" thickBot="1">
      <c r="A40" s="3">
        <v>40</v>
      </c>
      <c r="B40" s="43"/>
      <c r="C40" s="43" t="s">
        <v>26</v>
      </c>
    </row>
    <row r="41" spans="1:4" s="42" customFormat="1">
      <c r="A41" s="3">
        <v>41</v>
      </c>
      <c r="B41" s="41" t="s">
        <v>478</v>
      </c>
      <c r="C41" s="44" t="s">
        <v>91</v>
      </c>
      <c r="D41" s="42" t="s">
        <v>90</v>
      </c>
    </row>
    <row r="42" spans="1:4" s="42" customFormat="1">
      <c r="A42" s="3">
        <v>42</v>
      </c>
      <c r="B42" s="41">
        <v>58.5</v>
      </c>
      <c r="C42" s="41" t="s">
        <v>92</v>
      </c>
      <c r="D42" s="42">
        <v>3</v>
      </c>
    </row>
    <row r="43" spans="1:4" s="42" customFormat="1">
      <c r="A43" s="3">
        <v>43</v>
      </c>
      <c r="B43" s="41">
        <v>1</v>
      </c>
      <c r="C43" s="41" t="s">
        <v>95</v>
      </c>
    </row>
    <row r="44" spans="1:4" s="42" customFormat="1">
      <c r="A44" s="3">
        <v>44</v>
      </c>
      <c r="B44" s="41">
        <v>1</v>
      </c>
      <c r="C44" s="41" t="s">
        <v>96</v>
      </c>
    </row>
    <row r="45" spans="1:4" s="42" customFormat="1">
      <c r="A45" s="3">
        <v>45</v>
      </c>
      <c r="B45" s="41">
        <v>59.5</v>
      </c>
      <c r="C45" s="41" t="s">
        <v>94</v>
      </c>
    </row>
    <row r="46" spans="1:4" s="42" customFormat="1">
      <c r="A46" s="3">
        <v>46</v>
      </c>
      <c r="B46" s="41">
        <v>57.5</v>
      </c>
      <c r="C46" s="41" t="s">
        <v>93</v>
      </c>
    </row>
    <row r="47" spans="1:4" s="42" customFormat="1">
      <c r="A47" s="3">
        <v>47</v>
      </c>
      <c r="B47" s="41" t="s">
        <v>506</v>
      </c>
      <c r="C47" s="41" t="s">
        <v>97</v>
      </c>
    </row>
    <row r="48" spans="1:4" s="42" customFormat="1">
      <c r="A48" s="3">
        <v>48</v>
      </c>
      <c r="B48" s="41" t="s">
        <v>507</v>
      </c>
      <c r="C48" s="41" t="s">
        <v>101</v>
      </c>
    </row>
    <row r="49" spans="1:4" s="42" customFormat="1">
      <c r="A49" s="3">
        <v>49</v>
      </c>
      <c r="B49" s="41" t="s">
        <v>68</v>
      </c>
      <c r="C49" s="41" t="s">
        <v>66</v>
      </c>
    </row>
    <row r="50" spans="1:4" s="42" customFormat="1" ht="14.25" thickBot="1">
      <c r="A50" s="3">
        <v>50</v>
      </c>
      <c r="B50" s="43"/>
      <c r="C50" s="43" t="s">
        <v>26</v>
      </c>
    </row>
    <row r="51" spans="1:4" s="42" customFormat="1">
      <c r="A51" s="3">
        <v>51</v>
      </c>
      <c r="B51" s="41" t="s">
        <v>479</v>
      </c>
      <c r="C51" s="44" t="s">
        <v>91</v>
      </c>
      <c r="D51" s="42" t="s">
        <v>90</v>
      </c>
    </row>
    <row r="52" spans="1:4" s="42" customFormat="1">
      <c r="A52" s="3">
        <v>52</v>
      </c>
      <c r="B52" s="41" t="s">
        <v>508</v>
      </c>
      <c r="C52" s="41" t="s">
        <v>92</v>
      </c>
      <c r="D52" s="42">
        <v>4</v>
      </c>
    </row>
    <row r="53" spans="1:4" s="42" customFormat="1">
      <c r="A53" s="3">
        <v>53</v>
      </c>
      <c r="B53" s="58" t="s">
        <v>371</v>
      </c>
      <c r="C53" s="41" t="s">
        <v>95</v>
      </c>
    </row>
    <row r="54" spans="1:4" s="42" customFormat="1">
      <c r="A54" s="3">
        <v>54</v>
      </c>
      <c r="B54" s="58" t="s">
        <v>371</v>
      </c>
      <c r="C54" s="41" t="s">
        <v>96</v>
      </c>
    </row>
    <row r="55" spans="1:4" s="42" customFormat="1">
      <c r="A55" s="3">
        <v>55</v>
      </c>
      <c r="B55" s="41">
        <v>1.8</v>
      </c>
      <c r="C55" s="41" t="s">
        <v>94</v>
      </c>
    </row>
    <row r="56" spans="1:4" s="42" customFormat="1">
      <c r="A56" s="3">
        <v>56</v>
      </c>
      <c r="B56" s="41">
        <v>0.1</v>
      </c>
      <c r="C56" s="41" t="s">
        <v>93</v>
      </c>
    </row>
    <row r="57" spans="1:4" s="42" customFormat="1">
      <c r="A57" s="3">
        <v>57</v>
      </c>
      <c r="B57" s="41" t="s">
        <v>506</v>
      </c>
      <c r="C57" s="41" t="s">
        <v>97</v>
      </c>
    </row>
    <row r="58" spans="1:4" s="42" customFormat="1">
      <c r="A58" s="3">
        <v>58</v>
      </c>
      <c r="B58" s="41" t="s">
        <v>507</v>
      </c>
      <c r="C58" s="41" t="s">
        <v>101</v>
      </c>
    </row>
    <row r="59" spans="1:4" s="42" customFormat="1">
      <c r="A59" s="3">
        <v>59</v>
      </c>
      <c r="B59" s="41" t="s">
        <v>480</v>
      </c>
      <c r="C59" s="41" t="s">
        <v>66</v>
      </c>
    </row>
    <row r="60" spans="1:4" s="42" customFormat="1" ht="14.25" thickBot="1">
      <c r="A60" s="3">
        <v>60</v>
      </c>
      <c r="B60" s="43"/>
      <c r="C60" s="43" t="s">
        <v>26</v>
      </c>
    </row>
    <row r="61" spans="1:4" s="42" customFormat="1">
      <c r="A61" s="3">
        <v>61</v>
      </c>
      <c r="B61" s="41" t="s">
        <v>509</v>
      </c>
      <c r="C61" s="44" t="s">
        <v>91</v>
      </c>
      <c r="D61" s="42" t="s">
        <v>90</v>
      </c>
    </row>
    <row r="62" spans="1:4" s="42" customFormat="1">
      <c r="A62" s="3">
        <v>62</v>
      </c>
      <c r="B62" s="41" t="s">
        <v>371</v>
      </c>
      <c r="C62" s="41" t="s">
        <v>92</v>
      </c>
      <c r="D62" s="42">
        <v>5</v>
      </c>
    </row>
    <row r="63" spans="1:4" s="42" customFormat="1">
      <c r="A63" s="3">
        <v>63</v>
      </c>
      <c r="B63" s="41" t="s">
        <v>371</v>
      </c>
      <c r="C63" s="41" t="s">
        <v>95</v>
      </c>
    </row>
    <row r="64" spans="1:4" s="42" customFormat="1">
      <c r="A64" s="3">
        <v>64</v>
      </c>
      <c r="B64" s="41" t="s">
        <v>371</v>
      </c>
      <c r="C64" s="41" t="s">
        <v>96</v>
      </c>
    </row>
    <row r="65" spans="1:4" s="42" customFormat="1">
      <c r="A65" s="3">
        <v>65</v>
      </c>
      <c r="B65" s="41">
        <v>4.5</v>
      </c>
      <c r="C65" s="41" t="s">
        <v>94</v>
      </c>
    </row>
    <row r="66" spans="1:4" s="42" customFormat="1">
      <c r="A66" s="3">
        <v>66</v>
      </c>
      <c r="B66" s="41">
        <v>2</v>
      </c>
      <c r="C66" s="41" t="s">
        <v>93</v>
      </c>
    </row>
    <row r="67" spans="1:4" s="42" customFormat="1">
      <c r="A67" s="3">
        <v>67</v>
      </c>
      <c r="B67" s="41" t="s">
        <v>506</v>
      </c>
      <c r="C67" s="41" t="s">
        <v>97</v>
      </c>
    </row>
    <row r="68" spans="1:4" s="42" customFormat="1">
      <c r="A68" s="3">
        <v>68</v>
      </c>
      <c r="B68" s="41" t="s">
        <v>507</v>
      </c>
      <c r="C68" s="41" t="s">
        <v>101</v>
      </c>
    </row>
    <row r="69" spans="1:4" s="42" customFormat="1">
      <c r="A69" s="3">
        <v>69</v>
      </c>
      <c r="B69" s="41" t="s">
        <v>480</v>
      </c>
      <c r="C69" s="41" t="s">
        <v>66</v>
      </c>
    </row>
    <row r="70" spans="1:4" s="42" customFormat="1" ht="14.25" thickBot="1">
      <c r="A70" s="3">
        <v>70</v>
      </c>
      <c r="B70" s="43"/>
      <c r="C70" s="43" t="s">
        <v>26</v>
      </c>
    </row>
    <row r="71" spans="1:4" s="42" customFormat="1">
      <c r="A71" s="3">
        <v>71</v>
      </c>
      <c r="B71" s="41" t="s">
        <v>510</v>
      </c>
      <c r="C71" s="44" t="s">
        <v>91</v>
      </c>
      <c r="D71" s="42" t="s">
        <v>90</v>
      </c>
    </row>
    <row r="72" spans="1:4" s="42" customFormat="1">
      <c r="A72" s="3">
        <v>72</v>
      </c>
      <c r="B72" s="41" t="s">
        <v>511</v>
      </c>
      <c r="C72" s="41" t="s">
        <v>92</v>
      </c>
      <c r="D72" s="42">
        <v>6</v>
      </c>
    </row>
    <row r="73" spans="1:4" s="42" customFormat="1">
      <c r="A73" s="3">
        <v>73</v>
      </c>
      <c r="B73" s="41" t="s">
        <v>371</v>
      </c>
      <c r="C73" s="41" t="s">
        <v>95</v>
      </c>
    </row>
    <row r="74" spans="1:4" s="42" customFormat="1">
      <c r="A74" s="3">
        <v>74</v>
      </c>
      <c r="B74" s="41" t="s">
        <v>371</v>
      </c>
      <c r="C74" s="41" t="s">
        <v>96</v>
      </c>
    </row>
    <row r="75" spans="1:4" s="42" customFormat="1">
      <c r="A75" s="3">
        <v>75</v>
      </c>
      <c r="B75" s="41">
        <v>0.25</v>
      </c>
      <c r="C75" s="41" t="s">
        <v>94</v>
      </c>
    </row>
    <row r="76" spans="1:4" s="42" customFormat="1">
      <c r="A76" s="3">
        <v>76</v>
      </c>
      <c r="B76" s="41">
        <v>0</v>
      </c>
      <c r="C76" s="41" t="s">
        <v>93</v>
      </c>
    </row>
    <row r="77" spans="1:4" s="42" customFormat="1">
      <c r="A77" s="3">
        <v>77</v>
      </c>
      <c r="B77" s="41" t="s">
        <v>506</v>
      </c>
      <c r="C77" s="41" t="s">
        <v>97</v>
      </c>
    </row>
    <row r="78" spans="1:4" s="42" customFormat="1">
      <c r="A78" s="3">
        <v>78</v>
      </c>
      <c r="B78" s="41" t="s">
        <v>507</v>
      </c>
      <c r="C78" s="41" t="s">
        <v>101</v>
      </c>
    </row>
    <row r="79" spans="1:4" s="42" customFormat="1">
      <c r="A79" s="3">
        <v>79</v>
      </c>
      <c r="B79" s="41" t="s">
        <v>480</v>
      </c>
      <c r="C79" s="41" t="s">
        <v>66</v>
      </c>
    </row>
    <row r="80" spans="1:4" s="42" customFormat="1" ht="14.25" thickBot="1">
      <c r="A80" s="3">
        <v>80</v>
      </c>
      <c r="B80" s="43"/>
      <c r="C80" s="43" t="s">
        <v>26</v>
      </c>
    </row>
    <row r="81" spans="1:4" s="42" customFormat="1">
      <c r="A81" s="3">
        <v>81</v>
      </c>
      <c r="B81" s="41"/>
      <c r="C81" s="44" t="s">
        <v>91</v>
      </c>
      <c r="D81" s="42" t="s">
        <v>90</v>
      </c>
    </row>
    <row r="82" spans="1:4" s="42" customFormat="1">
      <c r="A82" s="3">
        <v>82</v>
      </c>
      <c r="B82" s="41"/>
      <c r="C82" s="41" t="s">
        <v>92</v>
      </c>
      <c r="D82" s="42">
        <v>7</v>
      </c>
    </row>
    <row r="83" spans="1:4" s="42" customFormat="1">
      <c r="A83" s="3">
        <v>83</v>
      </c>
      <c r="B83" s="41"/>
      <c r="C83" s="41" t="s">
        <v>95</v>
      </c>
    </row>
    <row r="84" spans="1:4" s="42" customFormat="1">
      <c r="A84" s="3">
        <v>84</v>
      </c>
      <c r="B84" s="41"/>
      <c r="C84" s="41" t="s">
        <v>96</v>
      </c>
    </row>
    <row r="85" spans="1:4" s="42" customFormat="1">
      <c r="A85" s="3">
        <v>85</v>
      </c>
      <c r="B85" s="41"/>
      <c r="C85" s="41" t="s">
        <v>94</v>
      </c>
    </row>
    <row r="86" spans="1:4" s="42" customFormat="1">
      <c r="A86" s="3">
        <v>86</v>
      </c>
      <c r="B86" s="41"/>
      <c r="C86" s="41" t="s">
        <v>93</v>
      </c>
    </row>
    <row r="87" spans="1:4" s="42" customFormat="1">
      <c r="A87" s="3">
        <v>87</v>
      </c>
      <c r="B87" s="41"/>
      <c r="C87" s="41" t="s">
        <v>97</v>
      </c>
    </row>
    <row r="88" spans="1:4" s="42" customFormat="1">
      <c r="A88" s="3">
        <v>88</v>
      </c>
      <c r="B88" s="41"/>
      <c r="C88" s="41" t="s">
        <v>101</v>
      </c>
    </row>
    <row r="89" spans="1:4" s="42" customFormat="1">
      <c r="A89" s="3">
        <v>89</v>
      </c>
      <c r="B89" s="41"/>
      <c r="C89" s="41" t="s">
        <v>66</v>
      </c>
    </row>
    <row r="90" spans="1:4" s="42" customFormat="1" ht="14.25" thickBot="1">
      <c r="A90" s="3">
        <v>90</v>
      </c>
      <c r="B90" s="43"/>
      <c r="C90" s="43" t="s">
        <v>26</v>
      </c>
    </row>
    <row r="91" spans="1:4" s="42" customFormat="1">
      <c r="A91" s="3">
        <v>91</v>
      </c>
      <c r="B91" s="41"/>
      <c r="C91" s="44" t="s">
        <v>91</v>
      </c>
      <c r="D91" s="42" t="s">
        <v>90</v>
      </c>
    </row>
    <row r="92" spans="1:4" s="42" customFormat="1">
      <c r="A92" s="3">
        <v>92</v>
      </c>
      <c r="B92" s="41"/>
      <c r="C92" s="41" t="s">
        <v>92</v>
      </c>
      <c r="D92" s="42">
        <v>8</v>
      </c>
    </row>
    <row r="93" spans="1:4" s="42" customFormat="1">
      <c r="A93" s="3">
        <v>93</v>
      </c>
      <c r="B93" s="41"/>
      <c r="C93" s="41" t="s">
        <v>95</v>
      </c>
    </row>
    <row r="94" spans="1:4" s="42" customFormat="1">
      <c r="A94" s="3">
        <v>94</v>
      </c>
      <c r="B94" s="41"/>
      <c r="C94" s="41" t="s">
        <v>96</v>
      </c>
    </row>
    <row r="95" spans="1:4" s="42" customFormat="1">
      <c r="A95" s="3">
        <v>95</v>
      </c>
      <c r="B95" s="41"/>
      <c r="C95" s="41" t="s">
        <v>94</v>
      </c>
    </row>
    <row r="96" spans="1:4" s="42" customFormat="1">
      <c r="A96" s="3">
        <v>96</v>
      </c>
      <c r="B96" s="41"/>
      <c r="C96" s="41" t="s">
        <v>93</v>
      </c>
    </row>
    <row r="97" spans="1:4" s="42" customFormat="1">
      <c r="A97" s="3">
        <v>97</v>
      </c>
      <c r="B97" s="41"/>
      <c r="C97" s="41" t="s">
        <v>97</v>
      </c>
    </row>
    <row r="98" spans="1:4" s="42" customFormat="1">
      <c r="A98" s="3">
        <v>98</v>
      </c>
      <c r="B98" s="41"/>
      <c r="C98" s="41" t="s">
        <v>101</v>
      </c>
    </row>
    <row r="99" spans="1:4" s="42" customFormat="1">
      <c r="A99" s="3">
        <v>99</v>
      </c>
      <c r="B99" s="41"/>
      <c r="C99" s="41" t="s">
        <v>66</v>
      </c>
    </row>
    <row r="100" spans="1:4" s="42" customFormat="1" ht="14.25" thickBot="1">
      <c r="A100" s="3">
        <v>100</v>
      </c>
      <c r="B100" s="43"/>
      <c r="C100" s="43" t="s">
        <v>26</v>
      </c>
    </row>
    <row r="101" spans="1:4" s="42" customFormat="1">
      <c r="A101" s="3">
        <v>101</v>
      </c>
      <c r="B101" s="41"/>
      <c r="C101" s="44" t="s">
        <v>91</v>
      </c>
      <c r="D101" s="42" t="s">
        <v>90</v>
      </c>
    </row>
    <row r="102" spans="1:4" s="42" customFormat="1">
      <c r="A102" s="3">
        <v>102</v>
      </c>
      <c r="B102" s="41"/>
      <c r="C102" s="41" t="s">
        <v>92</v>
      </c>
      <c r="D102" s="42">
        <v>9</v>
      </c>
    </row>
    <row r="103" spans="1:4" s="42" customFormat="1">
      <c r="A103" s="3">
        <v>103</v>
      </c>
      <c r="B103" s="41"/>
      <c r="C103" s="41" t="s">
        <v>95</v>
      </c>
    </row>
    <row r="104" spans="1:4" s="42" customFormat="1">
      <c r="A104" s="3">
        <v>104</v>
      </c>
      <c r="B104" s="41"/>
      <c r="C104" s="41" t="s">
        <v>96</v>
      </c>
    </row>
    <row r="105" spans="1:4" s="42" customFormat="1">
      <c r="A105" s="3">
        <v>105</v>
      </c>
      <c r="B105" s="41"/>
      <c r="C105" s="41" t="s">
        <v>94</v>
      </c>
    </row>
    <row r="106" spans="1:4" s="42" customFormat="1">
      <c r="A106" s="3">
        <v>106</v>
      </c>
      <c r="B106" s="41"/>
      <c r="C106" s="41" t="s">
        <v>93</v>
      </c>
    </row>
    <row r="107" spans="1:4" s="42" customFormat="1">
      <c r="A107" s="3">
        <v>107</v>
      </c>
      <c r="B107" s="41"/>
      <c r="C107" s="41" t="s">
        <v>97</v>
      </c>
    </row>
    <row r="108" spans="1:4" s="42" customFormat="1">
      <c r="A108" s="3">
        <v>108</v>
      </c>
      <c r="B108" s="41"/>
      <c r="C108" s="41" t="s">
        <v>101</v>
      </c>
    </row>
    <row r="109" spans="1:4" s="42" customFormat="1">
      <c r="A109" s="3">
        <v>109</v>
      </c>
      <c r="B109" s="41"/>
      <c r="C109" s="41" t="s">
        <v>66</v>
      </c>
    </row>
    <row r="110" spans="1:4" s="42" customFormat="1" ht="14.25" thickBot="1">
      <c r="A110" s="3">
        <v>110</v>
      </c>
      <c r="B110" s="43"/>
      <c r="C110" s="43" t="s">
        <v>26</v>
      </c>
    </row>
    <row r="111" spans="1:4" s="42" customFormat="1">
      <c r="A111" s="3">
        <v>111</v>
      </c>
      <c r="B111" s="41"/>
      <c r="C111" s="44" t="s">
        <v>91</v>
      </c>
      <c r="D111" s="42" t="s">
        <v>90</v>
      </c>
    </row>
    <row r="112" spans="1:4" s="42" customFormat="1">
      <c r="A112" s="3">
        <v>112</v>
      </c>
      <c r="B112" s="41"/>
      <c r="C112" s="41" t="s">
        <v>92</v>
      </c>
      <c r="D112" s="42">
        <v>10</v>
      </c>
    </row>
    <row r="113" spans="1:4" s="42" customFormat="1">
      <c r="A113" s="3">
        <v>113</v>
      </c>
      <c r="B113" s="41"/>
      <c r="C113" s="41" t="s">
        <v>95</v>
      </c>
    </row>
    <row r="114" spans="1:4" s="42" customFormat="1">
      <c r="A114" s="3">
        <v>114</v>
      </c>
      <c r="B114" s="41"/>
      <c r="C114" s="41" t="s">
        <v>96</v>
      </c>
    </row>
    <row r="115" spans="1:4" s="42" customFormat="1">
      <c r="A115" s="3">
        <v>115</v>
      </c>
      <c r="B115" s="41"/>
      <c r="C115" s="41" t="s">
        <v>94</v>
      </c>
    </row>
    <row r="116" spans="1:4" s="42" customFormat="1">
      <c r="A116" s="3">
        <v>116</v>
      </c>
      <c r="B116" s="41"/>
      <c r="C116" s="41" t="s">
        <v>93</v>
      </c>
    </row>
    <row r="117" spans="1:4" s="42" customFormat="1">
      <c r="A117" s="3">
        <v>117</v>
      </c>
      <c r="B117" s="41"/>
      <c r="C117" s="41" t="s">
        <v>97</v>
      </c>
    </row>
    <row r="118" spans="1:4" s="42" customFormat="1">
      <c r="A118" s="3">
        <v>118</v>
      </c>
      <c r="B118" s="41"/>
      <c r="C118" s="41" t="s">
        <v>101</v>
      </c>
    </row>
    <row r="119" spans="1:4" s="42" customFormat="1">
      <c r="A119" s="3">
        <v>119</v>
      </c>
      <c r="B119" s="41"/>
      <c r="C119" s="41" t="s">
        <v>66</v>
      </c>
    </row>
    <row r="120" spans="1:4" s="42" customFormat="1" ht="14.25" thickBot="1">
      <c r="A120" s="3">
        <v>120</v>
      </c>
      <c r="B120" s="43"/>
      <c r="C120" s="43" t="s">
        <v>26</v>
      </c>
    </row>
    <row r="121" spans="1:4" s="42" customFormat="1">
      <c r="A121" s="3">
        <v>121</v>
      </c>
      <c r="B121" s="41"/>
      <c r="C121" s="44" t="s">
        <v>91</v>
      </c>
      <c r="D121" s="42" t="s">
        <v>90</v>
      </c>
    </row>
    <row r="122" spans="1:4" s="42" customFormat="1">
      <c r="A122" s="3">
        <v>122</v>
      </c>
      <c r="B122" s="41"/>
      <c r="C122" s="41" t="s">
        <v>92</v>
      </c>
      <c r="D122" s="42">
        <v>11</v>
      </c>
    </row>
    <row r="123" spans="1:4" s="42" customFormat="1">
      <c r="A123" s="3">
        <v>123</v>
      </c>
      <c r="B123" s="41"/>
      <c r="C123" s="41" t="s">
        <v>95</v>
      </c>
    </row>
    <row r="124" spans="1:4" s="42" customFormat="1">
      <c r="A124" s="3">
        <v>124</v>
      </c>
      <c r="B124" s="41"/>
      <c r="C124" s="41" t="s">
        <v>96</v>
      </c>
    </row>
    <row r="125" spans="1:4" s="42" customFormat="1">
      <c r="A125" s="3">
        <v>125</v>
      </c>
      <c r="B125" s="41"/>
      <c r="C125" s="41" t="s">
        <v>94</v>
      </c>
    </row>
    <row r="126" spans="1:4" s="42" customFormat="1">
      <c r="A126" s="3">
        <v>126</v>
      </c>
      <c r="B126" s="41"/>
      <c r="C126" s="41" t="s">
        <v>93</v>
      </c>
    </row>
    <row r="127" spans="1:4" s="42" customFormat="1">
      <c r="A127" s="3">
        <v>127</v>
      </c>
      <c r="B127" s="41"/>
      <c r="C127" s="41" t="s">
        <v>97</v>
      </c>
    </row>
    <row r="128" spans="1:4" s="42" customFormat="1">
      <c r="A128" s="3">
        <v>128</v>
      </c>
      <c r="B128" s="41"/>
      <c r="C128" s="41" t="s">
        <v>101</v>
      </c>
    </row>
    <row r="129" spans="1:4" s="42" customFormat="1">
      <c r="A129" s="3">
        <v>129</v>
      </c>
      <c r="B129" s="41"/>
      <c r="C129" s="41" t="s">
        <v>66</v>
      </c>
    </row>
    <row r="130" spans="1:4" s="42" customFormat="1" ht="14.25" thickBot="1">
      <c r="A130" s="3">
        <v>130</v>
      </c>
      <c r="B130" s="43"/>
      <c r="C130" s="43" t="s">
        <v>26</v>
      </c>
    </row>
    <row r="131" spans="1:4" s="42" customFormat="1">
      <c r="A131" s="3">
        <v>131</v>
      </c>
      <c r="B131" s="41"/>
      <c r="C131" s="44" t="s">
        <v>91</v>
      </c>
      <c r="D131" s="42" t="s">
        <v>90</v>
      </c>
    </row>
    <row r="132" spans="1:4" s="42" customFormat="1">
      <c r="A132" s="3">
        <v>132</v>
      </c>
      <c r="B132" s="41"/>
      <c r="C132" s="41" t="s">
        <v>92</v>
      </c>
      <c r="D132" s="42">
        <v>12</v>
      </c>
    </row>
    <row r="133" spans="1:4" s="42" customFormat="1">
      <c r="A133" s="3">
        <v>133</v>
      </c>
      <c r="B133" s="41"/>
      <c r="C133" s="41" t="s">
        <v>95</v>
      </c>
    </row>
    <row r="134" spans="1:4" s="42" customFormat="1">
      <c r="A134" s="3">
        <v>134</v>
      </c>
      <c r="B134" s="41"/>
      <c r="C134" s="41" t="s">
        <v>96</v>
      </c>
    </row>
    <row r="135" spans="1:4" s="42" customFormat="1">
      <c r="A135" s="3">
        <v>135</v>
      </c>
      <c r="B135" s="41"/>
      <c r="C135" s="41" t="s">
        <v>94</v>
      </c>
    </row>
    <row r="136" spans="1:4" s="42" customFormat="1">
      <c r="A136" s="3">
        <v>136</v>
      </c>
      <c r="B136" s="41"/>
      <c r="C136" s="41" t="s">
        <v>93</v>
      </c>
    </row>
    <row r="137" spans="1:4" s="42" customFormat="1">
      <c r="A137" s="3">
        <v>137</v>
      </c>
      <c r="B137" s="41"/>
      <c r="C137" s="41" t="s">
        <v>97</v>
      </c>
    </row>
    <row r="138" spans="1:4" s="42" customFormat="1">
      <c r="A138" s="3">
        <v>138</v>
      </c>
      <c r="B138" s="41"/>
      <c r="C138" s="41" t="s">
        <v>101</v>
      </c>
    </row>
    <row r="139" spans="1:4" s="42" customFormat="1">
      <c r="A139" s="3">
        <v>139</v>
      </c>
      <c r="B139" s="41"/>
      <c r="C139" s="41" t="s">
        <v>66</v>
      </c>
    </row>
    <row r="140" spans="1:4" s="42" customFormat="1" ht="14.25" thickBot="1">
      <c r="A140" s="3">
        <v>140</v>
      </c>
      <c r="B140" s="43"/>
      <c r="C140" s="43" t="s">
        <v>26</v>
      </c>
    </row>
    <row r="141" spans="1:4" s="42" customFormat="1">
      <c r="A141" s="3">
        <v>141</v>
      </c>
      <c r="B141" s="41"/>
      <c r="C141" s="44" t="s">
        <v>91</v>
      </c>
      <c r="D141" s="42" t="s">
        <v>90</v>
      </c>
    </row>
    <row r="142" spans="1:4" s="42" customFormat="1">
      <c r="A142" s="3">
        <v>142</v>
      </c>
      <c r="B142" s="41"/>
      <c r="C142" s="41" t="s">
        <v>92</v>
      </c>
      <c r="D142" s="42">
        <v>13</v>
      </c>
    </row>
    <row r="143" spans="1:4" s="42" customFormat="1">
      <c r="A143" s="3">
        <v>143</v>
      </c>
      <c r="B143" s="41"/>
      <c r="C143" s="41" t="s">
        <v>95</v>
      </c>
    </row>
    <row r="144" spans="1:4" s="42" customFormat="1">
      <c r="A144" s="3">
        <v>144</v>
      </c>
      <c r="B144" s="41"/>
      <c r="C144" s="41" t="s">
        <v>96</v>
      </c>
    </row>
    <row r="145" spans="1:4" s="42" customFormat="1">
      <c r="A145" s="3">
        <v>145</v>
      </c>
      <c r="B145" s="41"/>
      <c r="C145" s="41" t="s">
        <v>94</v>
      </c>
    </row>
    <row r="146" spans="1:4" s="42" customFormat="1">
      <c r="A146" s="3">
        <v>146</v>
      </c>
      <c r="B146" s="41"/>
      <c r="C146" s="41" t="s">
        <v>93</v>
      </c>
    </row>
    <row r="147" spans="1:4" s="42" customFormat="1">
      <c r="A147" s="3">
        <v>147</v>
      </c>
      <c r="B147" s="41"/>
      <c r="C147" s="41" t="s">
        <v>97</v>
      </c>
    </row>
    <row r="148" spans="1:4" s="42" customFormat="1">
      <c r="A148" s="3">
        <v>148</v>
      </c>
      <c r="B148" s="41"/>
      <c r="C148" s="41" t="s">
        <v>101</v>
      </c>
    </row>
    <row r="149" spans="1:4" s="42" customFormat="1">
      <c r="A149" s="3">
        <v>149</v>
      </c>
      <c r="B149" s="41"/>
      <c r="C149" s="41" t="s">
        <v>66</v>
      </c>
    </row>
    <row r="150" spans="1:4" s="42" customFormat="1" ht="14.25" thickBot="1">
      <c r="A150" s="3">
        <v>150</v>
      </c>
      <c r="B150" s="43"/>
      <c r="C150" s="43" t="s">
        <v>26</v>
      </c>
    </row>
    <row r="151" spans="1:4" s="42" customFormat="1">
      <c r="A151" s="3">
        <v>151</v>
      </c>
      <c r="B151" s="41"/>
      <c r="C151" s="44" t="s">
        <v>91</v>
      </c>
      <c r="D151" s="42" t="s">
        <v>90</v>
      </c>
    </row>
    <row r="152" spans="1:4" s="42" customFormat="1">
      <c r="A152" s="3">
        <v>152</v>
      </c>
      <c r="B152" s="41"/>
      <c r="C152" s="41" t="s">
        <v>92</v>
      </c>
      <c r="D152" s="42">
        <v>14</v>
      </c>
    </row>
    <row r="153" spans="1:4" s="42" customFormat="1">
      <c r="A153" s="3">
        <v>153</v>
      </c>
      <c r="B153" s="41"/>
      <c r="C153" s="41" t="s">
        <v>95</v>
      </c>
    </row>
    <row r="154" spans="1:4" s="42" customFormat="1">
      <c r="A154" s="3">
        <v>154</v>
      </c>
      <c r="B154" s="41"/>
      <c r="C154" s="41" t="s">
        <v>96</v>
      </c>
    </row>
    <row r="155" spans="1:4" s="42" customFormat="1">
      <c r="A155" s="3">
        <v>155</v>
      </c>
      <c r="B155" s="41"/>
      <c r="C155" s="41" t="s">
        <v>94</v>
      </c>
    </row>
    <row r="156" spans="1:4" s="42" customFormat="1">
      <c r="A156" s="3">
        <v>156</v>
      </c>
      <c r="B156" s="41"/>
      <c r="C156" s="41" t="s">
        <v>93</v>
      </c>
    </row>
    <row r="157" spans="1:4" s="42" customFormat="1">
      <c r="A157" s="3">
        <v>157</v>
      </c>
      <c r="B157" s="41"/>
      <c r="C157" s="41" t="s">
        <v>97</v>
      </c>
    </row>
    <row r="158" spans="1:4" s="42" customFormat="1">
      <c r="A158" s="3">
        <v>158</v>
      </c>
      <c r="B158" s="41"/>
      <c r="C158" s="41" t="s">
        <v>101</v>
      </c>
    </row>
    <row r="159" spans="1:4" s="42" customFormat="1">
      <c r="A159" s="3">
        <v>159</v>
      </c>
      <c r="B159" s="41"/>
      <c r="C159" s="41" t="s">
        <v>66</v>
      </c>
    </row>
    <row r="160" spans="1:4" s="42" customFormat="1" ht="14.25" thickBot="1">
      <c r="A160" s="3">
        <v>160</v>
      </c>
      <c r="B160" s="43"/>
      <c r="C160" s="43" t="s">
        <v>26</v>
      </c>
    </row>
    <row r="161" spans="1:4" s="42" customFormat="1">
      <c r="A161" s="3">
        <v>161</v>
      </c>
      <c r="B161" s="41"/>
      <c r="C161" s="44" t="s">
        <v>91</v>
      </c>
      <c r="D161" s="42" t="s">
        <v>90</v>
      </c>
    </row>
    <row r="162" spans="1:4" s="42" customFormat="1">
      <c r="A162" s="3">
        <v>162</v>
      </c>
      <c r="B162" s="41"/>
      <c r="C162" s="41" t="s">
        <v>92</v>
      </c>
      <c r="D162" s="42">
        <v>15</v>
      </c>
    </row>
    <row r="163" spans="1:4" s="42" customFormat="1">
      <c r="A163" s="3">
        <v>163</v>
      </c>
      <c r="B163" s="41"/>
      <c r="C163" s="41" t="s">
        <v>95</v>
      </c>
    </row>
    <row r="164" spans="1:4" s="42" customFormat="1">
      <c r="A164" s="3">
        <v>164</v>
      </c>
      <c r="B164" s="41"/>
      <c r="C164" s="41" t="s">
        <v>96</v>
      </c>
    </row>
    <row r="165" spans="1:4" s="42" customFormat="1">
      <c r="A165" s="3">
        <v>165</v>
      </c>
      <c r="B165" s="41"/>
      <c r="C165" s="41" t="s">
        <v>94</v>
      </c>
    </row>
    <row r="166" spans="1:4" s="42" customFormat="1">
      <c r="A166" s="3">
        <v>166</v>
      </c>
      <c r="B166" s="41"/>
      <c r="C166" s="41" t="s">
        <v>93</v>
      </c>
    </row>
    <row r="167" spans="1:4" s="42" customFormat="1">
      <c r="A167" s="3">
        <v>167</v>
      </c>
      <c r="B167" s="41"/>
      <c r="C167" s="41" t="s">
        <v>97</v>
      </c>
    </row>
    <row r="168" spans="1:4" s="42" customFormat="1">
      <c r="A168" s="3">
        <v>168</v>
      </c>
      <c r="B168" s="41"/>
      <c r="C168" s="41" t="s">
        <v>101</v>
      </c>
    </row>
    <row r="169" spans="1:4" s="42" customFormat="1">
      <c r="A169" s="3">
        <v>169</v>
      </c>
      <c r="B169" s="41"/>
      <c r="C169" s="41" t="s">
        <v>66</v>
      </c>
    </row>
    <row r="170" spans="1:4" s="42" customFormat="1" ht="14.25" thickBot="1">
      <c r="A170" s="3">
        <v>170</v>
      </c>
      <c r="B170" s="43"/>
      <c r="C170" s="43" t="s">
        <v>26</v>
      </c>
    </row>
    <row r="171" spans="1:4" s="61" customFormat="1">
      <c r="A171" s="59">
        <v>171</v>
      </c>
      <c r="B171" s="59" t="s">
        <v>481</v>
      </c>
      <c r="C171" s="60" t="s">
        <v>91</v>
      </c>
      <c r="D171" s="61" t="s">
        <v>337</v>
      </c>
    </row>
    <row r="172" spans="1:4" s="61" customFormat="1">
      <c r="A172" s="59">
        <v>172</v>
      </c>
      <c r="B172" s="59">
        <v>40</v>
      </c>
      <c r="C172" s="59" t="s">
        <v>92</v>
      </c>
      <c r="D172" s="61">
        <v>1</v>
      </c>
    </row>
    <row r="173" spans="1:4" s="61" customFormat="1">
      <c r="A173" s="59">
        <v>173</v>
      </c>
      <c r="B173" s="59">
        <v>5</v>
      </c>
      <c r="C173" s="59" t="s">
        <v>95</v>
      </c>
    </row>
    <row r="174" spans="1:4" s="61" customFormat="1">
      <c r="A174" s="59">
        <v>174</v>
      </c>
      <c r="B174" s="59">
        <v>5</v>
      </c>
      <c r="C174" s="59" t="s">
        <v>96</v>
      </c>
    </row>
    <row r="175" spans="1:4" s="61" customFormat="1">
      <c r="A175" s="59">
        <v>175</v>
      </c>
      <c r="B175" s="59">
        <v>45</v>
      </c>
      <c r="C175" s="59" t="s">
        <v>94</v>
      </c>
    </row>
    <row r="176" spans="1:4" s="61" customFormat="1">
      <c r="A176" s="59">
        <v>176</v>
      </c>
      <c r="B176" s="59">
        <v>35</v>
      </c>
      <c r="C176" s="59" t="s">
        <v>93</v>
      </c>
    </row>
    <row r="177" spans="1:4" s="61" customFormat="1">
      <c r="A177" s="59">
        <v>177</v>
      </c>
      <c r="B177" s="59" t="s">
        <v>506</v>
      </c>
      <c r="C177" s="59" t="s">
        <v>97</v>
      </c>
    </row>
    <row r="178" spans="1:4" s="61" customFormat="1">
      <c r="A178" s="59">
        <v>178</v>
      </c>
      <c r="B178" s="59" t="s">
        <v>507</v>
      </c>
      <c r="C178" s="59" t="s">
        <v>101</v>
      </c>
    </row>
    <row r="179" spans="1:4" s="61" customFormat="1">
      <c r="A179" s="59">
        <v>179</v>
      </c>
      <c r="B179" s="59" t="s">
        <v>482</v>
      </c>
      <c r="C179" s="59" t="s">
        <v>66</v>
      </c>
    </row>
    <row r="180" spans="1:4" s="61" customFormat="1" ht="14.25" thickBot="1">
      <c r="A180" s="59">
        <v>180</v>
      </c>
      <c r="B180" s="62"/>
      <c r="C180" s="62" t="s">
        <v>26</v>
      </c>
    </row>
    <row r="181" spans="1:4" s="61" customFormat="1">
      <c r="A181" s="59">
        <v>181</v>
      </c>
      <c r="B181" s="59"/>
      <c r="C181" s="60" t="s">
        <v>91</v>
      </c>
      <c r="D181" s="61" t="s">
        <v>337</v>
      </c>
    </row>
    <row r="182" spans="1:4" s="61" customFormat="1">
      <c r="A182" s="59">
        <v>182</v>
      </c>
      <c r="B182" s="59"/>
      <c r="C182" s="59" t="s">
        <v>92</v>
      </c>
      <c r="D182" s="61">
        <v>2</v>
      </c>
    </row>
    <row r="183" spans="1:4" s="61" customFormat="1">
      <c r="A183" s="59">
        <v>183</v>
      </c>
      <c r="B183" s="59"/>
      <c r="C183" s="59" t="s">
        <v>95</v>
      </c>
    </row>
    <row r="184" spans="1:4" s="61" customFormat="1">
      <c r="A184" s="59">
        <v>184</v>
      </c>
      <c r="B184" s="59"/>
      <c r="C184" s="59" t="s">
        <v>96</v>
      </c>
    </row>
    <row r="185" spans="1:4" s="61" customFormat="1">
      <c r="A185" s="59">
        <v>185</v>
      </c>
      <c r="B185" s="59"/>
      <c r="C185" s="59" t="s">
        <v>94</v>
      </c>
    </row>
    <row r="186" spans="1:4" s="61" customFormat="1">
      <c r="A186" s="59">
        <v>186</v>
      </c>
      <c r="B186" s="59"/>
      <c r="C186" s="59" t="s">
        <v>93</v>
      </c>
    </row>
    <row r="187" spans="1:4" s="61" customFormat="1">
      <c r="A187" s="59">
        <v>187</v>
      </c>
      <c r="B187" s="59"/>
      <c r="C187" s="59" t="s">
        <v>97</v>
      </c>
    </row>
    <row r="188" spans="1:4" s="61" customFormat="1">
      <c r="A188" s="59">
        <v>188</v>
      </c>
      <c r="B188" s="59"/>
      <c r="C188" s="59" t="s">
        <v>101</v>
      </c>
    </row>
    <row r="189" spans="1:4" s="61" customFormat="1">
      <c r="A189" s="59">
        <v>189</v>
      </c>
      <c r="B189" s="59"/>
      <c r="C189" s="59" t="s">
        <v>66</v>
      </c>
    </row>
    <row r="190" spans="1:4" s="61" customFormat="1" ht="14.25" thickBot="1">
      <c r="A190" s="59">
        <v>190</v>
      </c>
      <c r="B190" s="62"/>
      <c r="C190" s="62" t="s">
        <v>26</v>
      </c>
    </row>
    <row r="191" spans="1:4" s="61" customFormat="1">
      <c r="A191" s="59">
        <v>191</v>
      </c>
      <c r="B191" s="59"/>
      <c r="C191" s="60" t="s">
        <v>91</v>
      </c>
      <c r="D191" s="61" t="s">
        <v>337</v>
      </c>
    </row>
    <row r="192" spans="1:4" s="61" customFormat="1">
      <c r="A192" s="59">
        <v>192</v>
      </c>
      <c r="B192" s="59"/>
      <c r="C192" s="59" t="s">
        <v>92</v>
      </c>
      <c r="D192" s="61">
        <v>3</v>
      </c>
    </row>
    <row r="193" spans="1:4" s="61" customFormat="1">
      <c r="A193" s="59">
        <v>193</v>
      </c>
      <c r="B193" s="59"/>
      <c r="C193" s="59" t="s">
        <v>95</v>
      </c>
    </row>
    <row r="194" spans="1:4" s="61" customFormat="1">
      <c r="A194" s="59">
        <v>194</v>
      </c>
      <c r="B194" s="59"/>
      <c r="C194" s="59" t="s">
        <v>96</v>
      </c>
    </row>
    <row r="195" spans="1:4" s="61" customFormat="1">
      <c r="A195" s="59">
        <v>195</v>
      </c>
      <c r="B195" s="59"/>
      <c r="C195" s="59" t="s">
        <v>94</v>
      </c>
    </row>
    <row r="196" spans="1:4" s="61" customFormat="1">
      <c r="A196" s="59">
        <v>196</v>
      </c>
      <c r="B196" s="59"/>
      <c r="C196" s="59" t="s">
        <v>93</v>
      </c>
    </row>
    <row r="197" spans="1:4" s="61" customFormat="1">
      <c r="A197" s="59">
        <v>197</v>
      </c>
      <c r="B197" s="59"/>
      <c r="C197" s="59" t="s">
        <v>97</v>
      </c>
    </row>
    <row r="198" spans="1:4" s="61" customFormat="1">
      <c r="A198" s="59">
        <v>198</v>
      </c>
      <c r="B198" s="59"/>
      <c r="C198" s="59" t="s">
        <v>101</v>
      </c>
    </row>
    <row r="199" spans="1:4" s="61" customFormat="1">
      <c r="A199" s="59">
        <v>199</v>
      </c>
      <c r="B199" s="59"/>
      <c r="C199" s="59" t="s">
        <v>66</v>
      </c>
    </row>
    <row r="200" spans="1:4" s="61" customFormat="1" ht="14.25" thickBot="1">
      <c r="A200" s="59">
        <v>200</v>
      </c>
      <c r="B200" s="62"/>
      <c r="C200" s="62" t="s">
        <v>26</v>
      </c>
    </row>
    <row r="201" spans="1:4" s="61" customFormat="1">
      <c r="A201" s="59">
        <v>201</v>
      </c>
      <c r="B201" s="59"/>
      <c r="C201" s="60" t="s">
        <v>91</v>
      </c>
      <c r="D201" s="61" t="s">
        <v>337</v>
      </c>
    </row>
    <row r="202" spans="1:4" s="61" customFormat="1">
      <c r="A202" s="59">
        <v>202</v>
      </c>
      <c r="B202" s="59"/>
      <c r="C202" s="59" t="s">
        <v>92</v>
      </c>
      <c r="D202" s="61">
        <v>4</v>
      </c>
    </row>
    <row r="203" spans="1:4" s="61" customFormat="1">
      <c r="A203" s="59">
        <v>203</v>
      </c>
      <c r="B203" s="59"/>
      <c r="C203" s="59" t="s">
        <v>95</v>
      </c>
    </row>
    <row r="204" spans="1:4" s="61" customFormat="1">
      <c r="A204" s="59">
        <v>204</v>
      </c>
      <c r="B204" s="59"/>
      <c r="C204" s="59" t="s">
        <v>96</v>
      </c>
    </row>
    <row r="205" spans="1:4" s="61" customFormat="1">
      <c r="A205" s="59">
        <v>205</v>
      </c>
      <c r="B205" s="59"/>
      <c r="C205" s="59" t="s">
        <v>94</v>
      </c>
    </row>
    <row r="206" spans="1:4" s="61" customFormat="1">
      <c r="A206" s="59">
        <v>206</v>
      </c>
      <c r="B206" s="59"/>
      <c r="C206" s="59" t="s">
        <v>93</v>
      </c>
    </row>
    <row r="207" spans="1:4" s="61" customFormat="1">
      <c r="A207" s="59">
        <v>207</v>
      </c>
      <c r="B207" s="59"/>
      <c r="C207" s="59" t="s">
        <v>97</v>
      </c>
    </row>
    <row r="208" spans="1:4" s="61" customFormat="1">
      <c r="A208" s="59">
        <v>208</v>
      </c>
      <c r="B208" s="59"/>
      <c r="C208" s="59" t="s">
        <v>101</v>
      </c>
    </row>
    <row r="209" spans="1:5" s="61" customFormat="1">
      <c r="A209" s="59">
        <v>209</v>
      </c>
      <c r="B209" s="59"/>
      <c r="C209" s="59" t="s">
        <v>66</v>
      </c>
    </row>
    <row r="210" spans="1:5" s="61" customFormat="1" ht="14.25" thickBot="1">
      <c r="A210" s="59">
        <v>210</v>
      </c>
      <c r="B210" s="62"/>
      <c r="C210" s="62" t="s">
        <v>26</v>
      </c>
    </row>
    <row r="211" spans="1:5" s="61" customFormat="1">
      <c r="A211" s="59">
        <v>211</v>
      </c>
      <c r="B211" s="59"/>
      <c r="C211" s="60" t="s">
        <v>91</v>
      </c>
      <c r="D211" s="61" t="s">
        <v>337</v>
      </c>
    </row>
    <row r="212" spans="1:5" s="61" customFormat="1">
      <c r="A212" s="59">
        <v>212</v>
      </c>
      <c r="B212" s="59"/>
      <c r="C212" s="59" t="s">
        <v>92</v>
      </c>
      <c r="D212" s="61">
        <v>5</v>
      </c>
    </row>
    <row r="213" spans="1:5" s="61" customFormat="1">
      <c r="A213" s="59">
        <v>213</v>
      </c>
      <c r="B213" s="59"/>
      <c r="C213" s="59" t="s">
        <v>95</v>
      </c>
    </row>
    <row r="214" spans="1:5" s="61" customFormat="1">
      <c r="A214" s="59">
        <v>214</v>
      </c>
      <c r="B214" s="59"/>
      <c r="C214" s="59" t="s">
        <v>96</v>
      </c>
    </row>
    <row r="215" spans="1:5" s="61" customFormat="1">
      <c r="A215" s="59">
        <v>215</v>
      </c>
      <c r="B215" s="59"/>
      <c r="C215" s="59" t="s">
        <v>94</v>
      </c>
    </row>
    <row r="216" spans="1:5" s="61" customFormat="1">
      <c r="A216" s="59">
        <v>216</v>
      </c>
      <c r="B216" s="59"/>
      <c r="C216" s="59" t="s">
        <v>93</v>
      </c>
    </row>
    <row r="217" spans="1:5" s="61" customFormat="1">
      <c r="A217" s="59">
        <v>217</v>
      </c>
      <c r="B217" s="59"/>
      <c r="C217" s="59" t="s">
        <v>97</v>
      </c>
    </row>
    <row r="218" spans="1:5" s="61" customFormat="1">
      <c r="A218" s="59">
        <v>218</v>
      </c>
      <c r="B218" s="59"/>
      <c r="C218" s="59" t="s">
        <v>101</v>
      </c>
    </row>
    <row r="219" spans="1:5" s="61" customFormat="1">
      <c r="A219" s="59">
        <v>219</v>
      </c>
      <c r="B219" s="59"/>
      <c r="C219" s="59" t="s">
        <v>66</v>
      </c>
    </row>
    <row r="220" spans="1:5" s="61" customFormat="1" ht="14.25" thickBot="1">
      <c r="A220" s="59">
        <v>220</v>
      </c>
      <c r="B220" s="62"/>
      <c r="C220" s="62" t="s">
        <v>26</v>
      </c>
    </row>
    <row r="221" spans="1:5" s="46" customFormat="1">
      <c r="A221" s="45">
        <v>221</v>
      </c>
      <c r="B221" s="51">
        <v>6083.8</v>
      </c>
      <c r="C221" s="47" t="s">
        <v>15</v>
      </c>
      <c r="D221" s="46" t="s">
        <v>28</v>
      </c>
    </row>
    <row r="222" spans="1:5" s="46" customFormat="1">
      <c r="A222" s="45">
        <v>222</v>
      </c>
      <c r="B222" s="51">
        <v>6351.9</v>
      </c>
      <c r="C222" s="45" t="s">
        <v>16</v>
      </c>
      <c r="E222" s="51"/>
    </row>
    <row r="223" spans="1:5" s="46" customFormat="1">
      <c r="A223" s="45">
        <v>223</v>
      </c>
      <c r="B223" s="51">
        <v>5121.5</v>
      </c>
      <c r="C223" s="45" t="s">
        <v>17</v>
      </c>
      <c r="E223" s="51"/>
    </row>
    <row r="224" spans="1:5" s="46" customFormat="1">
      <c r="A224" s="45">
        <v>224</v>
      </c>
      <c r="B224" s="51">
        <v>7344.8</v>
      </c>
      <c r="C224" s="45" t="s">
        <v>18</v>
      </c>
      <c r="E224" s="51"/>
    </row>
    <row r="225" spans="1:5" s="46" customFormat="1">
      <c r="A225" s="45">
        <v>225</v>
      </c>
      <c r="B225" s="51">
        <v>8014.2</v>
      </c>
      <c r="C225" s="45" t="s">
        <v>19</v>
      </c>
      <c r="E225" s="51"/>
    </row>
    <row r="226" spans="1:5" s="46" customFormat="1">
      <c r="A226" s="45">
        <v>226</v>
      </c>
      <c r="B226" s="51"/>
      <c r="C226" s="45" t="s">
        <v>20</v>
      </c>
      <c r="E226" s="51"/>
    </row>
    <row r="227" spans="1:5" s="46" customFormat="1">
      <c r="A227" s="45">
        <v>227</v>
      </c>
      <c r="B227" s="51"/>
      <c r="C227" s="45" t="s">
        <v>21</v>
      </c>
      <c r="E227" s="51"/>
    </row>
    <row r="228" spans="1:5" s="46" customFormat="1">
      <c r="A228" s="45">
        <v>228</v>
      </c>
      <c r="B228" s="51"/>
      <c r="C228" s="45" t="s">
        <v>22</v>
      </c>
      <c r="E228" s="51"/>
    </row>
    <row r="229" spans="1:5" s="46" customFormat="1">
      <c r="A229" s="45">
        <v>229</v>
      </c>
      <c r="B229" s="51"/>
      <c r="C229" s="45" t="s">
        <v>23</v>
      </c>
      <c r="E229" s="51"/>
    </row>
    <row r="230" spans="1:5" s="46" customFormat="1">
      <c r="A230" s="45">
        <v>230</v>
      </c>
      <c r="B230" s="51"/>
      <c r="C230" s="45" t="s">
        <v>24</v>
      </c>
      <c r="E230" s="51"/>
    </row>
    <row r="231" spans="1:5" s="46" customFormat="1">
      <c r="A231" s="45">
        <v>231</v>
      </c>
      <c r="B231" s="51" t="s">
        <v>483</v>
      </c>
      <c r="C231" s="45" t="s">
        <v>38</v>
      </c>
      <c r="E231" s="51"/>
    </row>
    <row r="232" spans="1:5" s="46" customFormat="1">
      <c r="A232" s="45">
        <v>232</v>
      </c>
      <c r="B232" s="51" t="s">
        <v>475</v>
      </c>
      <c r="C232" s="45" t="s">
        <v>39</v>
      </c>
    </row>
    <row r="233" spans="1:5" s="46" customFormat="1">
      <c r="A233" s="45">
        <v>233</v>
      </c>
      <c r="B233" s="51" t="s">
        <v>505</v>
      </c>
      <c r="C233" s="45" t="s">
        <v>335</v>
      </c>
    </row>
    <row r="234" spans="1:5" s="46" customFormat="1">
      <c r="A234" s="45">
        <v>234</v>
      </c>
      <c r="B234" s="51"/>
      <c r="C234" s="45" t="s">
        <v>8</v>
      </c>
    </row>
    <row r="235" spans="1:5" s="46" customFormat="1" ht="14.25" thickBot="1">
      <c r="A235" s="45">
        <v>235</v>
      </c>
      <c r="B235" s="51"/>
      <c r="C235" s="57" t="s">
        <v>8</v>
      </c>
    </row>
    <row r="236" spans="1:5" s="46" customFormat="1">
      <c r="A236" s="45">
        <v>236</v>
      </c>
      <c r="B236" s="52">
        <v>13.93</v>
      </c>
      <c r="C236" s="47" t="s">
        <v>15</v>
      </c>
      <c r="D236" s="46" t="s">
        <v>29</v>
      </c>
    </row>
    <row r="237" spans="1:5" s="46" customFormat="1">
      <c r="A237" s="45">
        <v>237</v>
      </c>
      <c r="B237" s="51">
        <v>12.06</v>
      </c>
      <c r="C237" s="45" t="s">
        <v>16</v>
      </c>
    </row>
    <row r="238" spans="1:5" s="46" customFormat="1">
      <c r="A238" s="45">
        <v>238</v>
      </c>
      <c r="B238" s="51">
        <v>13.31</v>
      </c>
      <c r="C238" s="45" t="s">
        <v>17</v>
      </c>
    </row>
    <row r="239" spans="1:5" s="46" customFormat="1">
      <c r="A239" s="45">
        <v>239</v>
      </c>
      <c r="B239" s="51">
        <v>13.81</v>
      </c>
      <c r="C239" s="45" t="s">
        <v>18</v>
      </c>
    </row>
    <row r="240" spans="1:5" s="46" customFormat="1">
      <c r="A240" s="45">
        <v>240</v>
      </c>
      <c r="B240" s="51">
        <v>13.9</v>
      </c>
      <c r="C240" s="45" t="s">
        <v>19</v>
      </c>
    </row>
    <row r="241" spans="1:4" s="46" customFormat="1">
      <c r="A241" s="45">
        <v>241</v>
      </c>
      <c r="B241" s="51"/>
      <c r="C241" s="45" t="s">
        <v>20</v>
      </c>
    </row>
    <row r="242" spans="1:4" s="46" customFormat="1">
      <c r="A242" s="45">
        <v>242</v>
      </c>
      <c r="B242" s="51"/>
      <c r="C242" s="45" t="s">
        <v>21</v>
      </c>
    </row>
    <row r="243" spans="1:4" s="46" customFormat="1">
      <c r="A243" s="45">
        <v>243</v>
      </c>
      <c r="B243" s="51"/>
      <c r="C243" s="45" t="s">
        <v>22</v>
      </c>
    </row>
    <row r="244" spans="1:4" s="46" customFormat="1">
      <c r="A244" s="45">
        <v>244</v>
      </c>
      <c r="B244" s="51"/>
      <c r="C244" s="45" t="s">
        <v>23</v>
      </c>
    </row>
    <row r="245" spans="1:4" s="46" customFormat="1">
      <c r="A245" s="45">
        <v>245</v>
      </c>
      <c r="B245" s="51"/>
      <c r="C245" s="45" t="s">
        <v>24</v>
      </c>
    </row>
    <row r="246" spans="1:4" s="46" customFormat="1">
      <c r="A246" s="45">
        <v>246</v>
      </c>
      <c r="B246" s="51" t="s">
        <v>483</v>
      </c>
      <c r="C246" s="45" t="s">
        <v>38</v>
      </c>
    </row>
    <row r="247" spans="1:4" s="46" customFormat="1">
      <c r="A247" s="45">
        <v>247</v>
      </c>
      <c r="B247" s="51" t="s">
        <v>477</v>
      </c>
      <c r="C247" s="45" t="s">
        <v>39</v>
      </c>
    </row>
    <row r="248" spans="1:4" s="46" customFormat="1">
      <c r="A248" s="45">
        <v>248</v>
      </c>
      <c r="B248" s="51" t="s">
        <v>505</v>
      </c>
      <c r="C248" s="45" t="s">
        <v>335</v>
      </c>
    </row>
    <row r="249" spans="1:4" s="46" customFormat="1">
      <c r="A249" s="45">
        <v>249</v>
      </c>
      <c r="B249" s="51"/>
      <c r="C249" s="45" t="s">
        <v>8</v>
      </c>
    </row>
    <row r="250" spans="1:4" s="46" customFormat="1" ht="14.25" thickBot="1">
      <c r="A250" s="45">
        <v>250</v>
      </c>
      <c r="B250" s="51"/>
      <c r="C250" s="57" t="s">
        <v>8</v>
      </c>
    </row>
    <row r="251" spans="1:4" s="46" customFormat="1">
      <c r="A251" s="45">
        <v>251</v>
      </c>
      <c r="B251" s="52">
        <v>57.95</v>
      </c>
      <c r="C251" s="47" t="s">
        <v>15</v>
      </c>
      <c r="D251" s="46" t="s">
        <v>30</v>
      </c>
    </row>
    <row r="252" spans="1:4" s="46" customFormat="1">
      <c r="A252" s="45">
        <v>252</v>
      </c>
      <c r="B252" s="51">
        <v>58.24</v>
      </c>
      <c r="C252" s="45" t="s">
        <v>16</v>
      </c>
    </row>
    <row r="253" spans="1:4" s="46" customFormat="1">
      <c r="A253" s="45">
        <v>253</v>
      </c>
      <c r="B253" s="51">
        <v>57.99</v>
      </c>
      <c r="C253" s="45" t="s">
        <v>17</v>
      </c>
    </row>
    <row r="254" spans="1:4" s="46" customFormat="1">
      <c r="A254" s="45">
        <v>254</v>
      </c>
      <c r="B254" s="51">
        <v>57.99</v>
      </c>
      <c r="C254" s="45" t="s">
        <v>18</v>
      </c>
    </row>
    <row r="255" spans="1:4" s="46" customFormat="1">
      <c r="A255" s="45">
        <v>255</v>
      </c>
      <c r="B255" s="51">
        <v>57.79</v>
      </c>
      <c r="C255" s="45" t="s">
        <v>19</v>
      </c>
    </row>
    <row r="256" spans="1:4" s="46" customFormat="1">
      <c r="A256" s="45">
        <v>256</v>
      </c>
      <c r="B256" s="51"/>
      <c r="C256" s="45" t="s">
        <v>20</v>
      </c>
    </row>
    <row r="257" spans="1:4" s="46" customFormat="1">
      <c r="A257" s="45">
        <v>257</v>
      </c>
      <c r="B257" s="51"/>
      <c r="C257" s="45" t="s">
        <v>21</v>
      </c>
    </row>
    <row r="258" spans="1:4" s="46" customFormat="1">
      <c r="A258" s="45">
        <v>258</v>
      </c>
      <c r="B258" s="51"/>
      <c r="C258" s="45" t="s">
        <v>22</v>
      </c>
    </row>
    <row r="259" spans="1:4" s="46" customFormat="1">
      <c r="A259" s="45">
        <v>259</v>
      </c>
      <c r="B259" s="51"/>
      <c r="C259" s="45" t="s">
        <v>23</v>
      </c>
    </row>
    <row r="260" spans="1:4" s="46" customFormat="1">
      <c r="A260" s="45">
        <v>260</v>
      </c>
      <c r="B260" s="51"/>
      <c r="C260" s="45" t="s">
        <v>24</v>
      </c>
    </row>
    <row r="261" spans="1:4" s="46" customFormat="1">
      <c r="A261" s="45">
        <v>261</v>
      </c>
      <c r="B261" s="51" t="s">
        <v>483</v>
      </c>
      <c r="C261" s="45" t="s">
        <v>38</v>
      </c>
    </row>
    <row r="262" spans="1:4" s="46" customFormat="1">
      <c r="A262" s="45">
        <v>262</v>
      </c>
      <c r="B262" s="51" t="s">
        <v>478</v>
      </c>
      <c r="C262" s="45" t="s">
        <v>39</v>
      </c>
    </row>
    <row r="263" spans="1:4" s="46" customFormat="1">
      <c r="A263" s="45">
        <v>263</v>
      </c>
      <c r="B263" s="51" t="s">
        <v>505</v>
      </c>
      <c r="C263" s="45" t="s">
        <v>335</v>
      </c>
    </row>
    <row r="264" spans="1:4" s="46" customFormat="1">
      <c r="A264" s="45">
        <v>264</v>
      </c>
      <c r="B264" s="51"/>
      <c r="C264" s="45" t="s">
        <v>8</v>
      </c>
    </row>
    <row r="265" spans="1:4" s="46" customFormat="1" ht="14.25" thickBot="1">
      <c r="A265" s="45">
        <v>265</v>
      </c>
      <c r="B265" s="51"/>
      <c r="C265" s="57" t="s">
        <v>8</v>
      </c>
    </row>
    <row r="266" spans="1:4" s="46" customFormat="1">
      <c r="A266" s="45">
        <v>266</v>
      </c>
      <c r="B266" s="52">
        <v>1.1990000000000001</v>
      </c>
      <c r="C266" s="47" t="s">
        <v>15</v>
      </c>
      <c r="D266" s="46" t="s">
        <v>31</v>
      </c>
    </row>
    <row r="267" spans="1:4" s="46" customFormat="1">
      <c r="A267" s="45">
        <v>267</v>
      </c>
      <c r="B267" s="51">
        <v>1.252</v>
      </c>
      <c r="C267" s="45" t="s">
        <v>16</v>
      </c>
    </row>
    <row r="268" spans="1:4" s="46" customFormat="1">
      <c r="A268" s="45">
        <v>268</v>
      </c>
      <c r="B268" s="51">
        <v>1.403</v>
      </c>
      <c r="C268" s="45" t="s">
        <v>17</v>
      </c>
    </row>
    <row r="269" spans="1:4" s="46" customFormat="1">
      <c r="A269" s="45">
        <v>269</v>
      </c>
      <c r="B269" s="51">
        <v>1.147</v>
      </c>
      <c r="C269" s="45" t="s">
        <v>18</v>
      </c>
    </row>
    <row r="270" spans="1:4" s="46" customFormat="1">
      <c r="A270" s="45">
        <v>270</v>
      </c>
      <c r="B270" s="51">
        <v>1.2310000000000001</v>
      </c>
      <c r="C270" s="45" t="s">
        <v>19</v>
      </c>
    </row>
    <row r="271" spans="1:4" s="46" customFormat="1">
      <c r="A271" s="45">
        <v>271</v>
      </c>
      <c r="B271" s="51"/>
      <c r="C271" s="45" t="s">
        <v>20</v>
      </c>
    </row>
    <row r="272" spans="1:4" s="46" customFormat="1">
      <c r="A272" s="45">
        <v>272</v>
      </c>
      <c r="B272" s="51"/>
      <c r="C272" s="45" t="s">
        <v>21</v>
      </c>
    </row>
    <row r="273" spans="1:4" s="46" customFormat="1">
      <c r="A273" s="45">
        <v>273</v>
      </c>
      <c r="B273" s="51"/>
      <c r="C273" s="45" t="s">
        <v>22</v>
      </c>
    </row>
    <row r="274" spans="1:4" s="46" customFormat="1">
      <c r="A274" s="45">
        <v>274</v>
      </c>
      <c r="B274" s="51"/>
      <c r="C274" s="45" t="s">
        <v>23</v>
      </c>
    </row>
    <row r="275" spans="1:4" s="46" customFormat="1">
      <c r="A275" s="45">
        <v>275</v>
      </c>
      <c r="B275" s="51"/>
      <c r="C275" s="45" t="s">
        <v>24</v>
      </c>
    </row>
    <row r="276" spans="1:4" s="46" customFormat="1">
      <c r="A276" s="45">
        <v>276</v>
      </c>
      <c r="B276" s="51" t="s">
        <v>483</v>
      </c>
      <c r="C276" s="45" t="s">
        <v>38</v>
      </c>
    </row>
    <row r="277" spans="1:4" s="46" customFormat="1">
      <c r="A277" s="45">
        <v>277</v>
      </c>
      <c r="B277" s="51" t="s">
        <v>479</v>
      </c>
      <c r="C277" s="45" t="s">
        <v>39</v>
      </c>
    </row>
    <row r="278" spans="1:4" s="46" customFormat="1">
      <c r="A278" s="45">
        <v>278</v>
      </c>
      <c r="B278" s="51" t="s">
        <v>505</v>
      </c>
      <c r="C278" s="45" t="s">
        <v>335</v>
      </c>
    </row>
    <row r="279" spans="1:4" s="46" customFormat="1">
      <c r="A279" s="45">
        <v>279</v>
      </c>
      <c r="B279" s="51"/>
      <c r="C279" s="45" t="s">
        <v>8</v>
      </c>
    </row>
    <row r="280" spans="1:4" s="46" customFormat="1" ht="14.25" thickBot="1">
      <c r="A280" s="45">
        <v>280</v>
      </c>
      <c r="B280" s="51"/>
      <c r="C280" s="57" t="s">
        <v>8</v>
      </c>
    </row>
    <row r="281" spans="1:4" s="46" customFormat="1">
      <c r="A281" s="45">
        <v>281</v>
      </c>
      <c r="B281" s="52">
        <v>2.7970000000000002</v>
      </c>
      <c r="C281" s="47" t="s">
        <v>15</v>
      </c>
      <c r="D281" s="46" t="s">
        <v>32</v>
      </c>
    </row>
    <row r="282" spans="1:4" s="46" customFormat="1">
      <c r="A282" s="45">
        <v>282</v>
      </c>
      <c r="B282" s="51">
        <v>2.871</v>
      </c>
      <c r="C282" s="45" t="s">
        <v>16</v>
      </c>
    </row>
    <row r="283" spans="1:4" s="46" customFormat="1">
      <c r="A283" s="45">
        <v>283</v>
      </c>
      <c r="B283" s="51">
        <v>2.8359999999999999</v>
      </c>
      <c r="C283" s="45" t="s">
        <v>17</v>
      </c>
    </row>
    <row r="284" spans="1:4" s="46" customFormat="1">
      <c r="A284" s="45">
        <v>284</v>
      </c>
      <c r="B284" s="51">
        <v>2.8919999999999999</v>
      </c>
      <c r="C284" s="45" t="s">
        <v>18</v>
      </c>
    </row>
    <row r="285" spans="1:4" s="46" customFormat="1">
      <c r="A285" s="45">
        <v>285</v>
      </c>
      <c r="B285" s="51">
        <v>2.6709999999999998</v>
      </c>
      <c r="C285" s="45" t="s">
        <v>19</v>
      </c>
    </row>
    <row r="286" spans="1:4" s="46" customFormat="1">
      <c r="A286" s="45">
        <v>286</v>
      </c>
      <c r="B286" s="51"/>
      <c r="C286" s="45" t="s">
        <v>20</v>
      </c>
    </row>
    <row r="287" spans="1:4" s="46" customFormat="1">
      <c r="A287" s="45">
        <v>287</v>
      </c>
      <c r="B287" s="51"/>
      <c r="C287" s="45" t="s">
        <v>21</v>
      </c>
    </row>
    <row r="288" spans="1:4" s="46" customFormat="1">
      <c r="A288" s="45">
        <v>288</v>
      </c>
      <c r="B288" s="51"/>
      <c r="C288" s="45" t="s">
        <v>22</v>
      </c>
    </row>
    <row r="289" spans="1:4" s="46" customFormat="1">
      <c r="A289" s="45">
        <v>289</v>
      </c>
      <c r="B289" s="51"/>
      <c r="C289" s="45" t="s">
        <v>23</v>
      </c>
    </row>
    <row r="290" spans="1:4" s="46" customFormat="1">
      <c r="A290" s="45">
        <v>290</v>
      </c>
      <c r="B290" s="51"/>
      <c r="C290" s="45" t="s">
        <v>24</v>
      </c>
    </row>
    <row r="291" spans="1:4" s="46" customFormat="1">
      <c r="A291" s="45">
        <v>291</v>
      </c>
      <c r="B291" s="51" t="s">
        <v>483</v>
      </c>
      <c r="C291" s="45" t="s">
        <v>38</v>
      </c>
    </row>
    <row r="292" spans="1:4" s="46" customFormat="1">
      <c r="A292" s="45">
        <v>292</v>
      </c>
      <c r="B292" s="51" t="s">
        <v>509</v>
      </c>
      <c r="C292" s="45" t="s">
        <v>39</v>
      </c>
    </row>
    <row r="293" spans="1:4" s="46" customFormat="1">
      <c r="A293" s="45">
        <v>293</v>
      </c>
      <c r="B293" s="51" t="s">
        <v>505</v>
      </c>
      <c r="C293" s="45" t="s">
        <v>335</v>
      </c>
    </row>
    <row r="294" spans="1:4" s="46" customFormat="1">
      <c r="A294" s="45">
        <v>294</v>
      </c>
      <c r="B294" s="51"/>
      <c r="C294" s="45" t="s">
        <v>8</v>
      </c>
    </row>
    <row r="295" spans="1:4" s="46" customFormat="1" ht="14.25" thickBot="1">
      <c r="A295" s="45">
        <v>295</v>
      </c>
      <c r="B295" s="51"/>
      <c r="C295" s="57" t="s">
        <v>8</v>
      </c>
    </row>
    <row r="296" spans="1:4" s="46" customFormat="1">
      <c r="A296" s="45">
        <v>296</v>
      </c>
      <c r="B296" s="52">
        <v>5.0999999999999997E-2</v>
      </c>
      <c r="C296" s="47" t="s">
        <v>15</v>
      </c>
      <c r="D296" s="46" t="s">
        <v>33</v>
      </c>
    </row>
    <row r="297" spans="1:4" s="46" customFormat="1">
      <c r="A297" s="45">
        <v>297</v>
      </c>
      <c r="B297" s="51">
        <v>5.0999999999999997E-2</v>
      </c>
      <c r="C297" s="45" t="s">
        <v>16</v>
      </c>
    </row>
    <row r="298" spans="1:4" s="46" customFormat="1">
      <c r="A298" s="45">
        <v>298</v>
      </c>
      <c r="B298" s="51">
        <v>5.8999999999999997E-2</v>
      </c>
      <c r="C298" s="45" t="s">
        <v>17</v>
      </c>
    </row>
    <row r="299" spans="1:4" s="46" customFormat="1">
      <c r="A299" s="45">
        <v>299</v>
      </c>
      <c r="B299" s="51">
        <v>3.1E-2</v>
      </c>
      <c r="C299" s="45" t="s">
        <v>18</v>
      </c>
    </row>
    <row r="300" spans="1:4" s="46" customFormat="1">
      <c r="A300" s="45">
        <v>300</v>
      </c>
      <c r="B300" s="51">
        <v>5.8999999999999997E-2</v>
      </c>
      <c r="C300" s="45" t="s">
        <v>19</v>
      </c>
    </row>
    <row r="301" spans="1:4" s="46" customFormat="1">
      <c r="A301" s="45">
        <v>301</v>
      </c>
      <c r="B301" s="51"/>
      <c r="C301" s="45" t="s">
        <v>20</v>
      </c>
    </row>
    <row r="302" spans="1:4" s="46" customFormat="1">
      <c r="A302" s="45">
        <v>302</v>
      </c>
      <c r="B302" s="51"/>
      <c r="C302" s="45" t="s">
        <v>21</v>
      </c>
    </row>
    <row r="303" spans="1:4" s="46" customFormat="1">
      <c r="A303" s="45">
        <v>303</v>
      </c>
      <c r="B303" s="51"/>
      <c r="C303" s="45" t="s">
        <v>22</v>
      </c>
    </row>
    <row r="304" spans="1:4" s="46" customFormat="1">
      <c r="A304" s="45">
        <v>304</v>
      </c>
      <c r="B304" s="51"/>
      <c r="C304" s="45" t="s">
        <v>23</v>
      </c>
    </row>
    <row r="305" spans="1:4" s="46" customFormat="1">
      <c r="A305" s="45">
        <v>305</v>
      </c>
      <c r="B305" s="51"/>
      <c r="C305" s="45" t="s">
        <v>24</v>
      </c>
    </row>
    <row r="306" spans="1:4" s="46" customFormat="1">
      <c r="A306" s="45">
        <v>306</v>
      </c>
      <c r="B306" s="51" t="s">
        <v>483</v>
      </c>
      <c r="C306" s="45" t="s">
        <v>38</v>
      </c>
    </row>
    <row r="307" spans="1:4" s="46" customFormat="1">
      <c r="A307" s="45">
        <v>307</v>
      </c>
      <c r="B307" s="51" t="s">
        <v>510</v>
      </c>
      <c r="C307" s="45" t="s">
        <v>39</v>
      </c>
    </row>
    <row r="308" spans="1:4" s="46" customFormat="1">
      <c r="A308" s="45">
        <v>308</v>
      </c>
      <c r="B308" s="51" t="s">
        <v>505</v>
      </c>
      <c r="C308" s="45" t="s">
        <v>335</v>
      </c>
    </row>
    <row r="309" spans="1:4" s="46" customFormat="1">
      <c r="A309" s="45">
        <v>309</v>
      </c>
      <c r="B309" s="51"/>
      <c r="C309" s="45" t="s">
        <v>8</v>
      </c>
    </row>
    <row r="310" spans="1:4" s="46" customFormat="1" ht="14.25" thickBot="1">
      <c r="A310" s="45">
        <v>310</v>
      </c>
      <c r="B310" s="53"/>
      <c r="C310" s="57" t="s">
        <v>8</v>
      </c>
    </row>
    <row r="311" spans="1:4" s="46" customFormat="1">
      <c r="A311" s="45">
        <v>311</v>
      </c>
      <c r="B311" s="52"/>
      <c r="C311" s="47" t="s">
        <v>15</v>
      </c>
      <c r="D311" s="46" t="s">
        <v>34</v>
      </c>
    </row>
    <row r="312" spans="1:4" s="46" customFormat="1">
      <c r="A312" s="45">
        <v>312</v>
      </c>
      <c r="B312" s="51"/>
      <c r="C312" s="45" t="s">
        <v>16</v>
      </c>
    </row>
    <row r="313" spans="1:4" s="46" customFormat="1">
      <c r="A313" s="45">
        <v>313</v>
      </c>
      <c r="B313" s="51"/>
      <c r="C313" s="45" t="s">
        <v>17</v>
      </c>
    </row>
    <row r="314" spans="1:4" s="46" customFormat="1">
      <c r="A314" s="45">
        <v>314</v>
      </c>
      <c r="B314" s="51"/>
      <c r="C314" s="45" t="s">
        <v>18</v>
      </c>
    </row>
    <row r="315" spans="1:4" s="46" customFormat="1">
      <c r="A315" s="45">
        <v>315</v>
      </c>
      <c r="B315" s="51"/>
      <c r="C315" s="45" t="s">
        <v>19</v>
      </c>
    </row>
    <row r="316" spans="1:4" s="46" customFormat="1">
      <c r="A316" s="45">
        <v>316</v>
      </c>
      <c r="B316" s="51"/>
      <c r="C316" s="45" t="s">
        <v>20</v>
      </c>
    </row>
    <row r="317" spans="1:4" s="46" customFormat="1">
      <c r="A317" s="45">
        <v>317</v>
      </c>
      <c r="B317" s="51"/>
      <c r="C317" s="45" t="s">
        <v>21</v>
      </c>
    </row>
    <row r="318" spans="1:4" s="46" customFormat="1">
      <c r="A318" s="45">
        <v>318</v>
      </c>
      <c r="B318" s="51"/>
      <c r="C318" s="45" t="s">
        <v>22</v>
      </c>
    </row>
    <row r="319" spans="1:4" s="46" customFormat="1">
      <c r="A319" s="45">
        <v>319</v>
      </c>
      <c r="B319" s="51"/>
      <c r="C319" s="45" t="s">
        <v>23</v>
      </c>
    </row>
    <row r="320" spans="1:4" s="46" customFormat="1">
      <c r="A320" s="45">
        <v>320</v>
      </c>
      <c r="B320" s="51"/>
      <c r="C320" s="45" t="s">
        <v>24</v>
      </c>
    </row>
    <row r="321" spans="1:4" s="46" customFormat="1">
      <c r="A321" s="45">
        <v>321</v>
      </c>
      <c r="B321" s="51"/>
      <c r="C321" s="45" t="s">
        <v>38</v>
      </c>
    </row>
    <row r="322" spans="1:4" s="46" customFormat="1">
      <c r="A322" s="45">
        <v>322</v>
      </c>
      <c r="B322" s="51"/>
      <c r="C322" s="45" t="s">
        <v>39</v>
      </c>
    </row>
    <row r="323" spans="1:4" s="46" customFormat="1">
      <c r="A323" s="45">
        <v>323</v>
      </c>
      <c r="B323" s="51"/>
      <c r="C323" s="45" t="s">
        <v>335</v>
      </c>
    </row>
    <row r="324" spans="1:4" s="46" customFormat="1">
      <c r="A324" s="45">
        <v>324</v>
      </c>
      <c r="B324" s="51"/>
      <c r="C324" s="45" t="s">
        <v>8</v>
      </c>
    </row>
    <row r="325" spans="1:4" s="46" customFormat="1" ht="14.25" thickBot="1">
      <c r="A325" s="45">
        <v>325</v>
      </c>
      <c r="B325" s="53"/>
      <c r="C325" s="57" t="s">
        <v>8</v>
      </c>
    </row>
    <row r="326" spans="1:4" s="46" customFormat="1">
      <c r="A326" s="45">
        <v>326</v>
      </c>
      <c r="B326" s="52"/>
      <c r="C326" s="47" t="s">
        <v>15</v>
      </c>
      <c r="D326" s="46" t="s">
        <v>35</v>
      </c>
    </row>
    <row r="327" spans="1:4" s="46" customFormat="1">
      <c r="A327" s="45">
        <v>327</v>
      </c>
      <c r="B327" s="51"/>
      <c r="C327" s="45" t="s">
        <v>16</v>
      </c>
    </row>
    <row r="328" spans="1:4" s="46" customFormat="1">
      <c r="A328" s="45">
        <v>328</v>
      </c>
      <c r="B328" s="51"/>
      <c r="C328" s="45" t="s">
        <v>17</v>
      </c>
    </row>
    <row r="329" spans="1:4" s="46" customFormat="1">
      <c r="A329" s="45">
        <v>329</v>
      </c>
      <c r="B329" s="51"/>
      <c r="C329" s="45" t="s">
        <v>18</v>
      </c>
    </row>
    <row r="330" spans="1:4" s="46" customFormat="1">
      <c r="A330" s="45">
        <v>330</v>
      </c>
      <c r="B330" s="51"/>
      <c r="C330" s="45" t="s">
        <v>19</v>
      </c>
    </row>
    <row r="331" spans="1:4" s="46" customFormat="1">
      <c r="A331" s="45">
        <v>331</v>
      </c>
      <c r="B331" s="51"/>
      <c r="C331" s="45" t="s">
        <v>20</v>
      </c>
    </row>
    <row r="332" spans="1:4" s="46" customFormat="1">
      <c r="A332" s="45">
        <v>332</v>
      </c>
      <c r="B332" s="51"/>
      <c r="C332" s="45" t="s">
        <v>21</v>
      </c>
    </row>
    <row r="333" spans="1:4" s="46" customFormat="1">
      <c r="A333" s="45">
        <v>333</v>
      </c>
      <c r="B333" s="51"/>
      <c r="C333" s="45" t="s">
        <v>22</v>
      </c>
    </row>
    <row r="334" spans="1:4" s="46" customFormat="1">
      <c r="A334" s="45">
        <v>334</v>
      </c>
      <c r="B334" s="51"/>
      <c r="C334" s="45" t="s">
        <v>23</v>
      </c>
    </row>
    <row r="335" spans="1:4" s="46" customFormat="1">
      <c r="A335" s="45">
        <v>335</v>
      </c>
      <c r="B335" s="51"/>
      <c r="C335" s="45" t="s">
        <v>24</v>
      </c>
    </row>
    <row r="336" spans="1:4" s="46" customFormat="1">
      <c r="A336" s="45">
        <v>336</v>
      </c>
      <c r="B336" s="51"/>
      <c r="C336" s="45" t="s">
        <v>38</v>
      </c>
    </row>
    <row r="337" spans="1:4" s="46" customFormat="1">
      <c r="A337" s="45">
        <v>337</v>
      </c>
      <c r="B337" s="51"/>
      <c r="C337" s="45" t="s">
        <v>39</v>
      </c>
    </row>
    <row r="338" spans="1:4" s="46" customFormat="1">
      <c r="A338" s="45">
        <v>338</v>
      </c>
      <c r="B338" s="51"/>
      <c r="C338" s="45" t="s">
        <v>335</v>
      </c>
    </row>
    <row r="339" spans="1:4" s="46" customFormat="1">
      <c r="A339" s="45">
        <v>339</v>
      </c>
      <c r="B339" s="51"/>
      <c r="C339" s="45" t="s">
        <v>8</v>
      </c>
    </row>
    <row r="340" spans="1:4" s="46" customFormat="1" ht="14.25" thickBot="1">
      <c r="A340" s="45">
        <v>340</v>
      </c>
      <c r="B340" s="53"/>
      <c r="C340" s="57" t="s">
        <v>8</v>
      </c>
    </row>
    <row r="341" spans="1:4" s="46" customFormat="1">
      <c r="A341" s="45">
        <v>341</v>
      </c>
      <c r="B341" s="52"/>
      <c r="C341" s="47" t="s">
        <v>15</v>
      </c>
      <c r="D341" s="46" t="s">
        <v>36</v>
      </c>
    </row>
    <row r="342" spans="1:4" s="46" customFormat="1">
      <c r="A342" s="45">
        <v>342</v>
      </c>
      <c r="B342" s="51"/>
      <c r="C342" s="45" t="s">
        <v>16</v>
      </c>
    </row>
    <row r="343" spans="1:4" s="46" customFormat="1">
      <c r="A343" s="45">
        <v>343</v>
      </c>
      <c r="B343" s="51"/>
      <c r="C343" s="45" t="s">
        <v>17</v>
      </c>
    </row>
    <row r="344" spans="1:4" s="46" customFormat="1">
      <c r="A344" s="45">
        <v>344</v>
      </c>
      <c r="B344" s="51"/>
      <c r="C344" s="45" t="s">
        <v>18</v>
      </c>
    </row>
    <row r="345" spans="1:4" s="46" customFormat="1">
      <c r="A345" s="45">
        <v>345</v>
      </c>
      <c r="B345" s="51"/>
      <c r="C345" s="45" t="s">
        <v>19</v>
      </c>
    </row>
    <row r="346" spans="1:4" s="46" customFormat="1">
      <c r="A346" s="45">
        <v>346</v>
      </c>
      <c r="B346" s="51"/>
      <c r="C346" s="45" t="s">
        <v>20</v>
      </c>
    </row>
    <row r="347" spans="1:4" s="46" customFormat="1">
      <c r="A347" s="45">
        <v>347</v>
      </c>
      <c r="B347" s="51"/>
      <c r="C347" s="45" t="s">
        <v>21</v>
      </c>
    </row>
    <row r="348" spans="1:4" s="46" customFormat="1">
      <c r="A348" s="45">
        <v>348</v>
      </c>
      <c r="B348" s="51"/>
      <c r="C348" s="45" t="s">
        <v>22</v>
      </c>
    </row>
    <row r="349" spans="1:4" s="46" customFormat="1">
      <c r="A349" s="45">
        <v>349</v>
      </c>
      <c r="B349" s="51"/>
      <c r="C349" s="45" t="s">
        <v>23</v>
      </c>
    </row>
    <row r="350" spans="1:4" s="46" customFormat="1">
      <c r="A350" s="45">
        <v>350</v>
      </c>
      <c r="B350" s="51"/>
      <c r="C350" s="45" t="s">
        <v>24</v>
      </c>
    </row>
    <row r="351" spans="1:4" s="46" customFormat="1">
      <c r="A351" s="45">
        <v>351</v>
      </c>
      <c r="B351" s="51"/>
      <c r="C351" s="45" t="s">
        <v>38</v>
      </c>
    </row>
    <row r="352" spans="1:4" s="46" customFormat="1">
      <c r="A352" s="45">
        <v>352</v>
      </c>
      <c r="B352" s="51"/>
      <c r="C352" s="45" t="s">
        <v>39</v>
      </c>
    </row>
    <row r="353" spans="1:4" s="46" customFormat="1">
      <c r="A353" s="45">
        <v>353</v>
      </c>
      <c r="B353" s="51"/>
      <c r="C353" s="45" t="s">
        <v>335</v>
      </c>
    </row>
    <row r="354" spans="1:4" s="46" customFormat="1">
      <c r="A354" s="45">
        <v>354</v>
      </c>
      <c r="B354" s="51"/>
      <c r="C354" s="45" t="s">
        <v>8</v>
      </c>
    </row>
    <row r="355" spans="1:4" s="46" customFormat="1" ht="14.25" thickBot="1">
      <c r="A355" s="45">
        <v>355</v>
      </c>
      <c r="B355" s="53"/>
      <c r="C355" s="57" t="s">
        <v>8</v>
      </c>
    </row>
    <row r="356" spans="1:4" s="46" customFormat="1">
      <c r="A356" s="45">
        <v>356</v>
      </c>
      <c r="B356" s="52"/>
      <c r="C356" s="47" t="s">
        <v>15</v>
      </c>
      <c r="D356" s="46" t="s">
        <v>37</v>
      </c>
    </row>
    <row r="357" spans="1:4" s="46" customFormat="1">
      <c r="A357" s="45">
        <v>357</v>
      </c>
      <c r="B357" s="51"/>
      <c r="C357" s="45" t="s">
        <v>16</v>
      </c>
    </row>
    <row r="358" spans="1:4" s="46" customFormat="1">
      <c r="A358" s="45">
        <v>358</v>
      </c>
      <c r="B358" s="51"/>
      <c r="C358" s="45" t="s">
        <v>17</v>
      </c>
    </row>
    <row r="359" spans="1:4" s="46" customFormat="1">
      <c r="A359" s="45">
        <v>359</v>
      </c>
      <c r="B359" s="51"/>
      <c r="C359" s="45" t="s">
        <v>18</v>
      </c>
    </row>
    <row r="360" spans="1:4" s="46" customFormat="1">
      <c r="A360" s="45">
        <v>360</v>
      </c>
      <c r="B360" s="51"/>
      <c r="C360" s="45" t="s">
        <v>19</v>
      </c>
    </row>
    <row r="361" spans="1:4" s="46" customFormat="1">
      <c r="A361" s="45">
        <v>361</v>
      </c>
      <c r="B361" s="51"/>
      <c r="C361" s="45" t="s">
        <v>20</v>
      </c>
    </row>
    <row r="362" spans="1:4" s="46" customFormat="1">
      <c r="A362" s="45">
        <v>362</v>
      </c>
      <c r="B362" s="51"/>
      <c r="C362" s="45" t="s">
        <v>21</v>
      </c>
    </row>
    <row r="363" spans="1:4" s="46" customFormat="1">
      <c r="A363" s="45">
        <v>363</v>
      </c>
      <c r="B363" s="51"/>
      <c r="C363" s="45" t="s">
        <v>22</v>
      </c>
    </row>
    <row r="364" spans="1:4" s="46" customFormat="1">
      <c r="A364" s="45">
        <v>364</v>
      </c>
      <c r="B364" s="51"/>
      <c r="C364" s="45" t="s">
        <v>23</v>
      </c>
    </row>
    <row r="365" spans="1:4" s="46" customFormat="1">
      <c r="A365" s="45">
        <v>365</v>
      </c>
      <c r="B365" s="51"/>
      <c r="C365" s="45" t="s">
        <v>24</v>
      </c>
    </row>
    <row r="366" spans="1:4" s="46" customFormat="1">
      <c r="A366" s="45">
        <v>366</v>
      </c>
      <c r="B366" s="51"/>
      <c r="C366" s="45" t="s">
        <v>38</v>
      </c>
    </row>
    <row r="367" spans="1:4" s="46" customFormat="1">
      <c r="A367" s="45">
        <v>367</v>
      </c>
      <c r="B367" s="51"/>
      <c r="C367" s="45" t="s">
        <v>39</v>
      </c>
    </row>
    <row r="368" spans="1:4" s="46" customFormat="1">
      <c r="A368" s="45">
        <v>368</v>
      </c>
      <c r="B368" s="51"/>
      <c r="C368" s="45" t="s">
        <v>335</v>
      </c>
    </row>
    <row r="369" spans="1:4" s="46" customFormat="1">
      <c r="A369" s="45">
        <v>369</v>
      </c>
      <c r="B369" s="51"/>
      <c r="C369" s="45" t="s">
        <v>8</v>
      </c>
    </row>
    <row r="370" spans="1:4" s="46" customFormat="1" ht="14.25" thickBot="1">
      <c r="A370" s="45">
        <v>370</v>
      </c>
      <c r="B370" s="53"/>
      <c r="C370" s="57" t="s">
        <v>8</v>
      </c>
    </row>
    <row r="371" spans="1:4" s="46" customFormat="1">
      <c r="A371" s="45">
        <v>371</v>
      </c>
      <c r="B371" s="52"/>
      <c r="C371" s="47" t="s">
        <v>15</v>
      </c>
      <c r="D371" s="46" t="s">
        <v>349</v>
      </c>
    </row>
    <row r="372" spans="1:4" s="46" customFormat="1">
      <c r="A372" s="45">
        <v>372</v>
      </c>
      <c r="B372" s="51"/>
      <c r="C372" s="45" t="s">
        <v>16</v>
      </c>
    </row>
    <row r="373" spans="1:4" s="46" customFormat="1">
      <c r="A373" s="45">
        <v>373</v>
      </c>
      <c r="B373" s="51"/>
      <c r="C373" s="45" t="s">
        <v>17</v>
      </c>
    </row>
    <row r="374" spans="1:4" s="46" customFormat="1">
      <c r="A374" s="45">
        <v>374</v>
      </c>
      <c r="B374" s="51"/>
      <c r="C374" s="45" t="s">
        <v>18</v>
      </c>
    </row>
    <row r="375" spans="1:4" s="46" customFormat="1">
      <c r="A375" s="45">
        <v>375</v>
      </c>
      <c r="B375" s="51"/>
      <c r="C375" s="45" t="s">
        <v>19</v>
      </c>
    </row>
    <row r="376" spans="1:4" s="46" customFormat="1">
      <c r="A376" s="45">
        <v>376</v>
      </c>
      <c r="B376" s="51"/>
      <c r="C376" s="45" t="s">
        <v>20</v>
      </c>
    </row>
    <row r="377" spans="1:4" s="46" customFormat="1">
      <c r="A377" s="45">
        <v>377</v>
      </c>
      <c r="B377" s="51"/>
      <c r="C377" s="45" t="s">
        <v>21</v>
      </c>
    </row>
    <row r="378" spans="1:4" s="46" customFormat="1">
      <c r="A378" s="45">
        <v>378</v>
      </c>
      <c r="B378" s="51"/>
      <c r="C378" s="45" t="s">
        <v>22</v>
      </c>
    </row>
    <row r="379" spans="1:4" s="46" customFormat="1">
      <c r="A379" s="45">
        <v>379</v>
      </c>
      <c r="B379" s="51"/>
      <c r="C379" s="45" t="s">
        <v>23</v>
      </c>
    </row>
    <row r="380" spans="1:4" s="46" customFormat="1">
      <c r="A380" s="45">
        <v>380</v>
      </c>
      <c r="B380" s="51"/>
      <c r="C380" s="45" t="s">
        <v>24</v>
      </c>
    </row>
    <row r="381" spans="1:4" s="46" customFormat="1">
      <c r="A381" s="45">
        <v>381</v>
      </c>
      <c r="B381" s="51"/>
      <c r="C381" s="45" t="s">
        <v>38</v>
      </c>
    </row>
    <row r="382" spans="1:4" s="46" customFormat="1">
      <c r="A382" s="45">
        <v>382</v>
      </c>
      <c r="B382" s="51"/>
      <c r="C382" s="45" t="s">
        <v>39</v>
      </c>
    </row>
    <row r="383" spans="1:4" s="46" customFormat="1">
      <c r="A383" s="45">
        <v>383</v>
      </c>
      <c r="B383" s="51"/>
      <c r="C383" s="45" t="s">
        <v>335</v>
      </c>
    </row>
    <row r="384" spans="1:4" s="46" customFormat="1">
      <c r="A384" s="45">
        <v>384</v>
      </c>
      <c r="B384" s="51"/>
      <c r="C384" s="45" t="s">
        <v>8</v>
      </c>
    </row>
    <row r="385" spans="1:4" s="46" customFormat="1" ht="14.25" thickBot="1">
      <c r="A385" s="45">
        <v>385</v>
      </c>
      <c r="B385" s="53"/>
      <c r="C385" s="57" t="s">
        <v>8</v>
      </c>
    </row>
    <row r="386" spans="1:4" s="46" customFormat="1">
      <c r="A386" s="45">
        <v>386</v>
      </c>
      <c r="B386" s="52"/>
      <c r="C386" s="47" t="s">
        <v>15</v>
      </c>
      <c r="D386" s="46" t="s">
        <v>350</v>
      </c>
    </row>
    <row r="387" spans="1:4" s="46" customFormat="1">
      <c r="A387" s="45">
        <v>387</v>
      </c>
      <c r="B387" s="51"/>
      <c r="C387" s="45" t="s">
        <v>16</v>
      </c>
    </row>
    <row r="388" spans="1:4" s="46" customFormat="1">
      <c r="A388" s="45">
        <v>388</v>
      </c>
      <c r="B388" s="51"/>
      <c r="C388" s="45" t="s">
        <v>17</v>
      </c>
    </row>
    <row r="389" spans="1:4" s="46" customFormat="1">
      <c r="A389" s="45">
        <v>389</v>
      </c>
      <c r="B389" s="51"/>
      <c r="C389" s="45" t="s">
        <v>18</v>
      </c>
    </row>
    <row r="390" spans="1:4" s="46" customFormat="1">
      <c r="A390" s="45">
        <v>390</v>
      </c>
      <c r="B390" s="51"/>
      <c r="C390" s="45" t="s">
        <v>19</v>
      </c>
    </row>
    <row r="391" spans="1:4" s="46" customFormat="1">
      <c r="A391" s="45">
        <v>391</v>
      </c>
      <c r="B391" s="51"/>
      <c r="C391" s="45" t="s">
        <v>20</v>
      </c>
    </row>
    <row r="392" spans="1:4" s="46" customFormat="1">
      <c r="A392" s="45">
        <v>392</v>
      </c>
      <c r="B392" s="51"/>
      <c r="C392" s="45" t="s">
        <v>21</v>
      </c>
    </row>
    <row r="393" spans="1:4" s="46" customFormat="1">
      <c r="A393" s="45">
        <v>393</v>
      </c>
      <c r="B393" s="51"/>
      <c r="C393" s="45" t="s">
        <v>22</v>
      </c>
    </row>
    <row r="394" spans="1:4" s="46" customFormat="1">
      <c r="A394" s="45">
        <v>394</v>
      </c>
      <c r="B394" s="51"/>
      <c r="C394" s="45" t="s">
        <v>23</v>
      </c>
    </row>
    <row r="395" spans="1:4" s="46" customFormat="1">
      <c r="A395" s="45">
        <v>395</v>
      </c>
      <c r="B395" s="51"/>
      <c r="C395" s="45" t="s">
        <v>24</v>
      </c>
    </row>
    <row r="396" spans="1:4" s="46" customFormat="1">
      <c r="A396" s="45">
        <v>396</v>
      </c>
      <c r="B396" s="51"/>
      <c r="C396" s="45" t="s">
        <v>38</v>
      </c>
    </row>
    <row r="397" spans="1:4" s="46" customFormat="1">
      <c r="A397" s="45">
        <v>397</v>
      </c>
      <c r="B397" s="51"/>
      <c r="C397" s="45" t="s">
        <v>39</v>
      </c>
    </row>
    <row r="398" spans="1:4" s="46" customFormat="1">
      <c r="A398" s="45">
        <v>398</v>
      </c>
      <c r="B398" s="51"/>
      <c r="C398" s="45" t="s">
        <v>335</v>
      </c>
    </row>
    <row r="399" spans="1:4" s="46" customFormat="1">
      <c r="A399" s="45">
        <v>399</v>
      </c>
      <c r="B399" s="51"/>
      <c r="C399" s="45" t="s">
        <v>8</v>
      </c>
    </row>
    <row r="400" spans="1:4" s="46" customFormat="1" ht="14.25" thickBot="1">
      <c r="A400" s="45">
        <v>400</v>
      </c>
      <c r="B400" s="53"/>
      <c r="C400" s="57" t="s">
        <v>8</v>
      </c>
    </row>
    <row r="401" spans="1:4" s="46" customFormat="1">
      <c r="A401" s="45">
        <v>401</v>
      </c>
      <c r="B401" s="52"/>
      <c r="C401" s="47" t="s">
        <v>15</v>
      </c>
      <c r="D401" s="46" t="s">
        <v>351</v>
      </c>
    </row>
    <row r="402" spans="1:4" s="46" customFormat="1">
      <c r="A402" s="45">
        <v>402</v>
      </c>
      <c r="B402" s="51"/>
      <c r="C402" s="45" t="s">
        <v>16</v>
      </c>
    </row>
    <row r="403" spans="1:4" s="46" customFormat="1">
      <c r="A403" s="45">
        <v>403</v>
      </c>
      <c r="B403" s="51"/>
      <c r="C403" s="45" t="s">
        <v>17</v>
      </c>
    </row>
    <row r="404" spans="1:4" s="46" customFormat="1">
      <c r="A404" s="45">
        <v>404</v>
      </c>
      <c r="B404" s="51"/>
      <c r="C404" s="45" t="s">
        <v>18</v>
      </c>
    </row>
    <row r="405" spans="1:4" s="46" customFormat="1">
      <c r="A405" s="45">
        <v>405</v>
      </c>
      <c r="B405" s="51"/>
      <c r="C405" s="45" t="s">
        <v>19</v>
      </c>
    </row>
    <row r="406" spans="1:4" s="46" customFormat="1">
      <c r="A406" s="45">
        <v>406</v>
      </c>
      <c r="B406" s="51"/>
      <c r="C406" s="45" t="s">
        <v>20</v>
      </c>
    </row>
    <row r="407" spans="1:4" s="46" customFormat="1">
      <c r="A407" s="45">
        <v>407</v>
      </c>
      <c r="B407" s="51"/>
      <c r="C407" s="45" t="s">
        <v>21</v>
      </c>
    </row>
    <row r="408" spans="1:4" s="46" customFormat="1">
      <c r="A408" s="45">
        <v>408</v>
      </c>
      <c r="B408" s="51"/>
      <c r="C408" s="45" t="s">
        <v>22</v>
      </c>
    </row>
    <row r="409" spans="1:4" s="46" customFormat="1">
      <c r="A409" s="45">
        <v>409</v>
      </c>
      <c r="B409" s="51"/>
      <c r="C409" s="45" t="s">
        <v>23</v>
      </c>
    </row>
    <row r="410" spans="1:4" s="46" customFormat="1">
      <c r="A410" s="45">
        <v>410</v>
      </c>
      <c r="B410" s="51"/>
      <c r="C410" s="45" t="s">
        <v>24</v>
      </c>
    </row>
    <row r="411" spans="1:4" s="46" customFormat="1">
      <c r="A411" s="45">
        <v>411</v>
      </c>
      <c r="B411" s="51"/>
      <c r="C411" s="45" t="s">
        <v>38</v>
      </c>
    </row>
    <row r="412" spans="1:4" s="46" customFormat="1">
      <c r="A412" s="45">
        <v>412</v>
      </c>
      <c r="B412" s="51"/>
      <c r="C412" s="45" t="s">
        <v>39</v>
      </c>
    </row>
    <row r="413" spans="1:4" s="46" customFormat="1">
      <c r="A413" s="45">
        <v>413</v>
      </c>
      <c r="B413" s="51"/>
      <c r="C413" s="45" t="s">
        <v>335</v>
      </c>
    </row>
    <row r="414" spans="1:4" s="46" customFormat="1">
      <c r="A414" s="45">
        <v>414</v>
      </c>
      <c r="B414" s="51"/>
      <c r="C414" s="45" t="s">
        <v>8</v>
      </c>
    </row>
    <row r="415" spans="1:4" s="46" customFormat="1" ht="14.25" thickBot="1">
      <c r="A415" s="45">
        <v>415</v>
      </c>
      <c r="B415" s="53"/>
      <c r="C415" s="57" t="s">
        <v>8</v>
      </c>
    </row>
    <row r="416" spans="1:4" s="46" customFormat="1">
      <c r="A416" s="45">
        <v>416</v>
      </c>
      <c r="B416" s="52"/>
      <c r="C416" s="47" t="s">
        <v>15</v>
      </c>
      <c r="D416" s="46" t="s">
        <v>352</v>
      </c>
    </row>
    <row r="417" spans="1:4" s="46" customFormat="1">
      <c r="A417" s="45">
        <v>417</v>
      </c>
      <c r="B417" s="51"/>
      <c r="C417" s="45" t="s">
        <v>16</v>
      </c>
    </row>
    <row r="418" spans="1:4" s="46" customFormat="1">
      <c r="A418" s="45">
        <v>418</v>
      </c>
      <c r="B418" s="51"/>
      <c r="C418" s="45" t="s">
        <v>17</v>
      </c>
    </row>
    <row r="419" spans="1:4" s="46" customFormat="1">
      <c r="A419" s="45">
        <v>419</v>
      </c>
      <c r="B419" s="51"/>
      <c r="C419" s="45" t="s">
        <v>18</v>
      </c>
    </row>
    <row r="420" spans="1:4" s="46" customFormat="1">
      <c r="A420" s="45">
        <v>420</v>
      </c>
      <c r="B420" s="51"/>
      <c r="C420" s="45" t="s">
        <v>19</v>
      </c>
    </row>
    <row r="421" spans="1:4" s="46" customFormat="1">
      <c r="A421" s="45">
        <v>421</v>
      </c>
      <c r="B421" s="51"/>
      <c r="C421" s="45" t="s">
        <v>20</v>
      </c>
    </row>
    <row r="422" spans="1:4" s="46" customFormat="1">
      <c r="A422" s="45">
        <v>422</v>
      </c>
      <c r="B422" s="51"/>
      <c r="C422" s="45" t="s">
        <v>21</v>
      </c>
    </row>
    <row r="423" spans="1:4" s="46" customFormat="1">
      <c r="A423" s="45">
        <v>423</v>
      </c>
      <c r="B423" s="51"/>
      <c r="C423" s="45" t="s">
        <v>22</v>
      </c>
    </row>
    <row r="424" spans="1:4" s="46" customFormat="1">
      <c r="A424" s="45">
        <v>424</v>
      </c>
      <c r="B424" s="51"/>
      <c r="C424" s="45" t="s">
        <v>23</v>
      </c>
    </row>
    <row r="425" spans="1:4" s="46" customFormat="1">
      <c r="A425" s="45">
        <v>425</v>
      </c>
      <c r="B425" s="51"/>
      <c r="C425" s="45" t="s">
        <v>24</v>
      </c>
    </row>
    <row r="426" spans="1:4" s="46" customFormat="1">
      <c r="A426" s="45">
        <v>426</v>
      </c>
      <c r="B426" s="51"/>
      <c r="C426" s="45" t="s">
        <v>38</v>
      </c>
    </row>
    <row r="427" spans="1:4" s="46" customFormat="1">
      <c r="A427" s="45">
        <v>427</v>
      </c>
      <c r="B427" s="51"/>
      <c r="C427" s="45" t="s">
        <v>39</v>
      </c>
    </row>
    <row r="428" spans="1:4" s="46" customFormat="1">
      <c r="A428" s="45">
        <v>428</v>
      </c>
      <c r="B428" s="51"/>
      <c r="C428" s="45" t="s">
        <v>335</v>
      </c>
    </row>
    <row r="429" spans="1:4" s="46" customFormat="1">
      <c r="A429" s="45">
        <v>429</v>
      </c>
      <c r="B429" s="51"/>
      <c r="C429" s="45" t="s">
        <v>8</v>
      </c>
    </row>
    <row r="430" spans="1:4" s="46" customFormat="1" ht="14.25" thickBot="1">
      <c r="A430" s="45">
        <v>430</v>
      </c>
      <c r="B430" s="53"/>
      <c r="C430" s="57" t="s">
        <v>8</v>
      </c>
    </row>
    <row r="431" spans="1:4" s="46" customFormat="1">
      <c r="A431" s="45">
        <v>431</v>
      </c>
      <c r="B431" s="52"/>
      <c r="C431" s="47" t="s">
        <v>15</v>
      </c>
      <c r="D431" s="46" t="s">
        <v>353</v>
      </c>
    </row>
    <row r="432" spans="1:4" s="46" customFormat="1">
      <c r="A432" s="45">
        <v>432</v>
      </c>
      <c r="B432" s="51"/>
      <c r="C432" s="45" t="s">
        <v>16</v>
      </c>
    </row>
    <row r="433" spans="1:4" s="46" customFormat="1">
      <c r="A433" s="45">
        <v>433</v>
      </c>
      <c r="B433" s="51"/>
      <c r="C433" s="45" t="s">
        <v>17</v>
      </c>
    </row>
    <row r="434" spans="1:4" s="46" customFormat="1">
      <c r="A434" s="45">
        <v>434</v>
      </c>
      <c r="B434" s="51"/>
      <c r="C434" s="45" t="s">
        <v>18</v>
      </c>
    </row>
    <row r="435" spans="1:4" s="46" customFormat="1">
      <c r="A435" s="45">
        <v>435</v>
      </c>
      <c r="B435" s="51"/>
      <c r="C435" s="45" t="s">
        <v>19</v>
      </c>
    </row>
    <row r="436" spans="1:4" s="46" customFormat="1">
      <c r="A436" s="45">
        <v>436</v>
      </c>
      <c r="B436" s="51"/>
      <c r="C436" s="45" t="s">
        <v>20</v>
      </c>
    </row>
    <row r="437" spans="1:4" s="46" customFormat="1">
      <c r="A437" s="45">
        <v>437</v>
      </c>
      <c r="B437" s="51"/>
      <c r="C437" s="45" t="s">
        <v>21</v>
      </c>
    </row>
    <row r="438" spans="1:4" s="46" customFormat="1">
      <c r="A438" s="45">
        <v>438</v>
      </c>
      <c r="B438" s="51"/>
      <c r="C438" s="45" t="s">
        <v>22</v>
      </c>
    </row>
    <row r="439" spans="1:4" s="46" customFormat="1">
      <c r="A439" s="45">
        <v>439</v>
      </c>
      <c r="B439" s="51"/>
      <c r="C439" s="45" t="s">
        <v>23</v>
      </c>
    </row>
    <row r="440" spans="1:4" s="46" customFormat="1">
      <c r="A440" s="45">
        <v>440</v>
      </c>
      <c r="B440" s="51"/>
      <c r="C440" s="45" t="s">
        <v>24</v>
      </c>
    </row>
    <row r="441" spans="1:4" s="46" customFormat="1">
      <c r="A441" s="45">
        <v>441</v>
      </c>
      <c r="B441" s="51"/>
      <c r="C441" s="45" t="s">
        <v>38</v>
      </c>
    </row>
    <row r="442" spans="1:4" s="46" customFormat="1">
      <c r="A442" s="45">
        <v>442</v>
      </c>
      <c r="B442" s="51"/>
      <c r="C442" s="45" t="s">
        <v>39</v>
      </c>
    </row>
    <row r="443" spans="1:4" s="46" customFormat="1">
      <c r="A443" s="45">
        <v>443</v>
      </c>
      <c r="B443" s="51"/>
      <c r="C443" s="45" t="s">
        <v>335</v>
      </c>
    </row>
    <row r="444" spans="1:4" s="46" customFormat="1">
      <c r="A444" s="45">
        <v>444</v>
      </c>
      <c r="B444" s="51"/>
      <c r="C444" s="45" t="s">
        <v>8</v>
      </c>
    </row>
    <row r="445" spans="1:4" s="46" customFormat="1" ht="14.25" thickBot="1">
      <c r="A445" s="45">
        <v>445</v>
      </c>
      <c r="B445" s="53"/>
      <c r="C445" s="57" t="s">
        <v>8</v>
      </c>
    </row>
    <row r="446" spans="1:4" s="55" customFormat="1">
      <c r="A446" s="45">
        <v>446</v>
      </c>
      <c r="B446" s="55">
        <v>44</v>
      </c>
      <c r="C446" s="54" t="s">
        <v>15</v>
      </c>
      <c r="D446" s="55" t="s">
        <v>324</v>
      </c>
    </row>
    <row r="447" spans="1:4" s="55" customFormat="1">
      <c r="A447" s="45">
        <v>447</v>
      </c>
      <c r="B447" s="55">
        <v>44</v>
      </c>
      <c r="C447" s="54" t="s">
        <v>16</v>
      </c>
    </row>
    <row r="448" spans="1:4" s="55" customFormat="1">
      <c r="A448" s="45">
        <v>448</v>
      </c>
      <c r="B448" s="55">
        <v>44</v>
      </c>
      <c r="C448" s="54" t="s">
        <v>17</v>
      </c>
    </row>
    <row r="449" spans="1:4" s="55" customFormat="1">
      <c r="A449" s="45">
        <v>449</v>
      </c>
      <c r="B449" s="55">
        <v>44</v>
      </c>
      <c r="C449" s="54" t="s">
        <v>18</v>
      </c>
    </row>
    <row r="450" spans="1:4" s="55" customFormat="1">
      <c r="A450" s="45">
        <v>450</v>
      </c>
      <c r="B450" s="55">
        <v>44</v>
      </c>
      <c r="C450" s="54" t="s">
        <v>19</v>
      </c>
    </row>
    <row r="451" spans="1:4" s="55" customFormat="1">
      <c r="A451" s="45">
        <v>451</v>
      </c>
      <c r="B451" s="55">
        <v>44</v>
      </c>
      <c r="C451" s="54" t="s">
        <v>20</v>
      </c>
    </row>
    <row r="452" spans="1:4" s="55" customFormat="1">
      <c r="A452" s="45">
        <v>452</v>
      </c>
      <c r="B452" s="55">
        <v>44</v>
      </c>
      <c r="C452" s="54" t="s">
        <v>21</v>
      </c>
    </row>
    <row r="453" spans="1:4" s="55" customFormat="1">
      <c r="A453" s="45">
        <v>453</v>
      </c>
      <c r="B453" s="55">
        <v>44</v>
      </c>
      <c r="C453" s="54" t="s">
        <v>22</v>
      </c>
    </row>
    <row r="454" spans="1:4" s="55" customFormat="1">
      <c r="A454" s="45">
        <v>454</v>
      </c>
      <c r="B454" s="55">
        <v>44</v>
      </c>
      <c r="C454" s="54" t="s">
        <v>23</v>
      </c>
    </row>
    <row r="455" spans="1:4" s="55" customFormat="1">
      <c r="A455" s="45">
        <v>455</v>
      </c>
      <c r="B455" s="55">
        <v>43</v>
      </c>
      <c r="C455" s="54" t="s">
        <v>24</v>
      </c>
    </row>
    <row r="456" spans="1:4" s="55" customFormat="1">
      <c r="A456" s="45">
        <v>456</v>
      </c>
      <c r="B456" s="55" t="s">
        <v>484</v>
      </c>
      <c r="C456" s="54" t="s">
        <v>14</v>
      </c>
    </row>
    <row r="457" spans="1:4" s="55" customFormat="1">
      <c r="A457" s="45">
        <v>457</v>
      </c>
      <c r="B457" s="55" t="s">
        <v>481</v>
      </c>
      <c r="C457" s="54" t="s">
        <v>38</v>
      </c>
    </row>
    <row r="458" spans="1:4" s="55" customFormat="1">
      <c r="A458" s="45">
        <v>458</v>
      </c>
      <c r="B458" s="55" t="s">
        <v>505</v>
      </c>
      <c r="C458" s="54" t="s">
        <v>39</v>
      </c>
    </row>
    <row r="459" spans="1:4" s="55" customFormat="1">
      <c r="A459" s="45">
        <v>459</v>
      </c>
      <c r="C459" s="54" t="s">
        <v>8</v>
      </c>
    </row>
    <row r="460" spans="1:4" s="55" customFormat="1" ht="14.25" thickBot="1">
      <c r="A460" s="45">
        <v>460</v>
      </c>
      <c r="B460" s="56"/>
      <c r="C460" s="54" t="s">
        <v>8</v>
      </c>
    </row>
    <row r="461" spans="1:4" s="55" customFormat="1">
      <c r="A461" s="45">
        <v>461</v>
      </c>
      <c r="C461" s="54" t="s">
        <v>15</v>
      </c>
      <c r="D461" s="55" t="s">
        <v>325</v>
      </c>
    </row>
    <row r="462" spans="1:4" s="55" customFormat="1">
      <c r="A462" s="45">
        <v>462</v>
      </c>
      <c r="C462" s="54" t="s">
        <v>16</v>
      </c>
    </row>
    <row r="463" spans="1:4" s="55" customFormat="1">
      <c r="A463" s="45">
        <v>463</v>
      </c>
      <c r="C463" s="54" t="s">
        <v>17</v>
      </c>
    </row>
    <row r="464" spans="1:4" s="55" customFormat="1">
      <c r="A464" s="45">
        <v>464</v>
      </c>
      <c r="C464" s="54" t="s">
        <v>18</v>
      </c>
    </row>
    <row r="465" spans="1:4" s="55" customFormat="1">
      <c r="A465" s="45">
        <v>465</v>
      </c>
      <c r="C465" s="54" t="s">
        <v>19</v>
      </c>
    </row>
    <row r="466" spans="1:4" s="55" customFormat="1">
      <c r="A466" s="45">
        <v>466</v>
      </c>
      <c r="C466" s="54" t="s">
        <v>20</v>
      </c>
    </row>
    <row r="467" spans="1:4" s="55" customFormat="1">
      <c r="A467" s="45">
        <v>467</v>
      </c>
      <c r="C467" s="54" t="s">
        <v>21</v>
      </c>
    </row>
    <row r="468" spans="1:4" s="55" customFormat="1">
      <c r="A468" s="45">
        <v>468</v>
      </c>
      <c r="C468" s="54" t="s">
        <v>22</v>
      </c>
    </row>
    <row r="469" spans="1:4" s="55" customFormat="1">
      <c r="A469" s="45">
        <v>469</v>
      </c>
      <c r="C469" s="54" t="s">
        <v>23</v>
      </c>
    </row>
    <row r="470" spans="1:4" s="55" customFormat="1">
      <c r="A470" s="45">
        <v>470</v>
      </c>
      <c r="C470" s="54" t="s">
        <v>24</v>
      </c>
    </row>
    <row r="471" spans="1:4" s="55" customFormat="1">
      <c r="A471" s="45">
        <v>471</v>
      </c>
      <c r="C471" s="54" t="s">
        <v>14</v>
      </c>
    </row>
    <row r="472" spans="1:4" s="55" customFormat="1">
      <c r="A472" s="45">
        <v>472</v>
      </c>
      <c r="C472" s="54" t="s">
        <v>38</v>
      </c>
    </row>
    <row r="473" spans="1:4" s="55" customFormat="1">
      <c r="A473" s="45">
        <v>473</v>
      </c>
      <c r="C473" s="54" t="s">
        <v>39</v>
      </c>
    </row>
    <row r="474" spans="1:4" s="55" customFormat="1">
      <c r="A474" s="45">
        <v>474</v>
      </c>
      <c r="C474" s="54" t="s">
        <v>8</v>
      </c>
    </row>
    <row r="475" spans="1:4" s="55" customFormat="1" ht="14.25" thickBot="1">
      <c r="A475" s="45">
        <v>475</v>
      </c>
      <c r="B475" s="56"/>
      <c r="C475" s="54" t="s">
        <v>8</v>
      </c>
    </row>
    <row r="476" spans="1:4" s="55" customFormat="1">
      <c r="A476" s="45">
        <v>476</v>
      </c>
      <c r="C476" s="54" t="s">
        <v>15</v>
      </c>
      <c r="D476" s="55" t="s">
        <v>326</v>
      </c>
    </row>
    <row r="477" spans="1:4" s="55" customFormat="1">
      <c r="A477" s="45">
        <v>477</v>
      </c>
      <c r="C477" s="54" t="s">
        <v>16</v>
      </c>
    </row>
    <row r="478" spans="1:4" s="55" customFormat="1">
      <c r="A478" s="45">
        <v>478</v>
      </c>
      <c r="C478" s="54" t="s">
        <v>17</v>
      </c>
    </row>
    <row r="479" spans="1:4" s="55" customFormat="1">
      <c r="A479" s="45">
        <v>479</v>
      </c>
      <c r="C479" s="54" t="s">
        <v>18</v>
      </c>
    </row>
    <row r="480" spans="1:4" s="55" customFormat="1">
      <c r="A480" s="45">
        <v>480</v>
      </c>
      <c r="C480" s="54" t="s">
        <v>19</v>
      </c>
    </row>
    <row r="481" spans="1:4" s="55" customFormat="1">
      <c r="A481" s="45">
        <v>481</v>
      </c>
      <c r="C481" s="54" t="s">
        <v>20</v>
      </c>
    </row>
    <row r="482" spans="1:4" s="55" customFormat="1">
      <c r="A482" s="45">
        <v>482</v>
      </c>
      <c r="C482" s="54" t="s">
        <v>21</v>
      </c>
    </row>
    <row r="483" spans="1:4" s="55" customFormat="1">
      <c r="A483" s="45">
        <v>483</v>
      </c>
      <c r="C483" s="54" t="s">
        <v>22</v>
      </c>
    </row>
    <row r="484" spans="1:4" s="55" customFormat="1">
      <c r="A484" s="45">
        <v>484</v>
      </c>
      <c r="C484" s="54" t="s">
        <v>23</v>
      </c>
    </row>
    <row r="485" spans="1:4" s="55" customFormat="1">
      <c r="A485" s="45">
        <v>485</v>
      </c>
      <c r="C485" s="54" t="s">
        <v>24</v>
      </c>
    </row>
    <row r="486" spans="1:4" s="55" customFormat="1">
      <c r="A486" s="45">
        <v>486</v>
      </c>
      <c r="C486" s="54" t="s">
        <v>14</v>
      </c>
    </row>
    <row r="487" spans="1:4" s="55" customFormat="1">
      <c r="A487" s="45">
        <v>487</v>
      </c>
      <c r="C487" s="54" t="s">
        <v>38</v>
      </c>
    </row>
    <row r="488" spans="1:4" s="55" customFormat="1">
      <c r="A488" s="45">
        <v>488</v>
      </c>
      <c r="C488" s="54" t="s">
        <v>39</v>
      </c>
    </row>
    <row r="489" spans="1:4" s="55" customFormat="1">
      <c r="A489" s="45">
        <v>489</v>
      </c>
      <c r="C489" s="54" t="s">
        <v>8</v>
      </c>
    </row>
    <row r="490" spans="1:4" s="55" customFormat="1" ht="14.25" thickBot="1">
      <c r="A490" s="45">
        <v>490</v>
      </c>
      <c r="B490" s="56"/>
      <c r="C490" s="54" t="s">
        <v>8</v>
      </c>
    </row>
    <row r="491" spans="1:4" s="55" customFormat="1">
      <c r="A491" s="45">
        <v>491</v>
      </c>
      <c r="C491" s="54" t="s">
        <v>15</v>
      </c>
      <c r="D491" s="55" t="s">
        <v>327</v>
      </c>
    </row>
    <row r="492" spans="1:4" s="55" customFormat="1">
      <c r="A492" s="45">
        <v>492</v>
      </c>
      <c r="C492" s="54" t="s">
        <v>16</v>
      </c>
    </row>
    <row r="493" spans="1:4" s="55" customFormat="1">
      <c r="A493" s="45">
        <v>493</v>
      </c>
      <c r="C493" s="54" t="s">
        <v>17</v>
      </c>
    </row>
    <row r="494" spans="1:4" s="55" customFormat="1">
      <c r="A494" s="45">
        <v>494</v>
      </c>
      <c r="C494" s="54" t="s">
        <v>18</v>
      </c>
    </row>
    <row r="495" spans="1:4" s="55" customFormat="1">
      <c r="A495" s="45">
        <v>495</v>
      </c>
      <c r="C495" s="54" t="s">
        <v>19</v>
      </c>
    </row>
    <row r="496" spans="1:4" s="55" customFormat="1">
      <c r="A496" s="45">
        <v>496</v>
      </c>
      <c r="C496" s="54" t="s">
        <v>20</v>
      </c>
    </row>
    <row r="497" spans="1:4" s="55" customFormat="1">
      <c r="A497" s="45">
        <v>497</v>
      </c>
      <c r="C497" s="54" t="s">
        <v>21</v>
      </c>
    </row>
    <row r="498" spans="1:4" s="55" customFormat="1">
      <c r="A498" s="45">
        <v>498</v>
      </c>
      <c r="C498" s="54" t="s">
        <v>22</v>
      </c>
    </row>
    <row r="499" spans="1:4" s="55" customFormat="1">
      <c r="A499" s="45">
        <v>499</v>
      </c>
      <c r="C499" s="54" t="s">
        <v>23</v>
      </c>
    </row>
    <row r="500" spans="1:4" s="55" customFormat="1">
      <c r="A500" s="45">
        <v>500</v>
      </c>
      <c r="C500" s="54" t="s">
        <v>24</v>
      </c>
    </row>
    <row r="501" spans="1:4" s="55" customFormat="1">
      <c r="A501" s="45">
        <v>501</v>
      </c>
      <c r="C501" s="54" t="s">
        <v>14</v>
      </c>
    </row>
    <row r="502" spans="1:4" s="55" customFormat="1">
      <c r="A502" s="45">
        <v>502</v>
      </c>
      <c r="C502" s="54" t="s">
        <v>38</v>
      </c>
    </row>
    <row r="503" spans="1:4" s="55" customFormat="1">
      <c r="A503" s="45">
        <v>503</v>
      </c>
      <c r="C503" s="54" t="s">
        <v>39</v>
      </c>
    </row>
    <row r="504" spans="1:4" s="55" customFormat="1">
      <c r="A504" s="45">
        <v>504</v>
      </c>
      <c r="C504" s="54" t="s">
        <v>8</v>
      </c>
    </row>
    <row r="505" spans="1:4" s="55" customFormat="1" ht="14.25" thickBot="1">
      <c r="A505" s="45">
        <v>505</v>
      </c>
      <c r="B505" s="56"/>
      <c r="C505" s="54" t="s">
        <v>8</v>
      </c>
    </row>
    <row r="506" spans="1:4" s="55" customFormat="1">
      <c r="A506" s="45">
        <v>506</v>
      </c>
      <c r="C506" s="54" t="s">
        <v>15</v>
      </c>
      <c r="D506" s="55" t="s">
        <v>328</v>
      </c>
    </row>
    <row r="507" spans="1:4" s="55" customFormat="1">
      <c r="A507" s="45">
        <v>507</v>
      </c>
      <c r="C507" s="54" t="s">
        <v>16</v>
      </c>
    </row>
    <row r="508" spans="1:4" s="55" customFormat="1">
      <c r="A508" s="45">
        <v>508</v>
      </c>
      <c r="C508" s="54" t="s">
        <v>17</v>
      </c>
    </row>
    <row r="509" spans="1:4" s="55" customFormat="1">
      <c r="A509" s="45">
        <v>509</v>
      </c>
      <c r="C509" s="54" t="s">
        <v>18</v>
      </c>
    </row>
    <row r="510" spans="1:4" s="55" customFormat="1">
      <c r="A510" s="45">
        <v>510</v>
      </c>
      <c r="C510" s="54" t="s">
        <v>19</v>
      </c>
    </row>
    <row r="511" spans="1:4" s="55" customFormat="1">
      <c r="A511" s="45">
        <v>511</v>
      </c>
      <c r="C511" s="54" t="s">
        <v>20</v>
      </c>
    </row>
    <row r="512" spans="1:4" s="55" customFormat="1">
      <c r="A512" s="45">
        <v>512</v>
      </c>
      <c r="C512" s="54" t="s">
        <v>21</v>
      </c>
    </row>
    <row r="513" spans="1:4" s="55" customFormat="1">
      <c r="A513" s="45">
        <v>513</v>
      </c>
      <c r="C513" s="54" t="s">
        <v>22</v>
      </c>
    </row>
    <row r="514" spans="1:4" s="55" customFormat="1">
      <c r="A514" s="45">
        <v>514</v>
      </c>
      <c r="C514" s="54" t="s">
        <v>23</v>
      </c>
    </row>
    <row r="515" spans="1:4" s="55" customFormat="1">
      <c r="A515" s="45">
        <v>515</v>
      </c>
      <c r="C515" s="54" t="s">
        <v>24</v>
      </c>
    </row>
    <row r="516" spans="1:4" s="55" customFormat="1">
      <c r="A516" s="45">
        <v>516</v>
      </c>
      <c r="C516" s="54" t="s">
        <v>14</v>
      </c>
    </row>
    <row r="517" spans="1:4" s="55" customFormat="1">
      <c r="A517" s="45">
        <v>517</v>
      </c>
      <c r="C517" s="54" t="s">
        <v>38</v>
      </c>
    </row>
    <row r="518" spans="1:4" s="55" customFormat="1">
      <c r="A518" s="45">
        <v>518</v>
      </c>
      <c r="C518" s="54" t="s">
        <v>39</v>
      </c>
    </row>
    <row r="519" spans="1:4" s="55" customFormat="1">
      <c r="A519" s="45">
        <v>519</v>
      </c>
      <c r="C519" s="54" t="s">
        <v>8</v>
      </c>
    </row>
    <row r="520" spans="1:4" s="55" customFormat="1" ht="14.25" thickBot="1">
      <c r="A520" s="45">
        <v>520</v>
      </c>
      <c r="B520" s="56"/>
      <c r="C520" s="54" t="s">
        <v>8</v>
      </c>
    </row>
    <row r="521" spans="1:4" s="1" customFormat="1">
      <c r="A521" s="45">
        <v>521</v>
      </c>
      <c r="B521" s="1" t="s">
        <v>336</v>
      </c>
      <c r="C521" s="48" t="s">
        <v>15</v>
      </c>
      <c r="D521" s="1" t="s">
        <v>197</v>
      </c>
    </row>
    <row r="522" spans="1:4" s="1" customFormat="1">
      <c r="A522" s="45">
        <v>522</v>
      </c>
      <c r="B522" s="1" t="s">
        <v>336</v>
      </c>
      <c r="C522" s="2" t="s">
        <v>16</v>
      </c>
    </row>
    <row r="523" spans="1:4" s="1" customFormat="1">
      <c r="A523" s="45">
        <v>523</v>
      </c>
      <c r="B523" s="1" t="s">
        <v>336</v>
      </c>
      <c r="C523" s="2" t="s">
        <v>17</v>
      </c>
    </row>
    <row r="524" spans="1:4" s="1" customFormat="1">
      <c r="A524" s="45">
        <v>524</v>
      </c>
      <c r="B524" s="1" t="s">
        <v>336</v>
      </c>
      <c r="C524" s="2" t="s">
        <v>18</v>
      </c>
    </row>
    <row r="525" spans="1:4" s="1" customFormat="1">
      <c r="A525" s="45">
        <v>525</v>
      </c>
      <c r="B525" s="1" t="s">
        <v>336</v>
      </c>
      <c r="C525" s="2" t="s">
        <v>19</v>
      </c>
    </row>
    <row r="526" spans="1:4" s="1" customFormat="1">
      <c r="A526" s="45">
        <v>526</v>
      </c>
      <c r="B526" s="1" t="s">
        <v>336</v>
      </c>
      <c r="C526" s="2" t="s">
        <v>20</v>
      </c>
    </row>
    <row r="527" spans="1:4" s="1" customFormat="1">
      <c r="A527" s="45">
        <v>527</v>
      </c>
      <c r="B527" s="1" t="s">
        <v>336</v>
      </c>
      <c r="C527" s="2" t="s">
        <v>21</v>
      </c>
    </row>
    <row r="528" spans="1:4" s="1" customFormat="1">
      <c r="A528" s="45">
        <v>528</v>
      </c>
      <c r="B528" s="1" t="s">
        <v>336</v>
      </c>
      <c r="C528" s="2" t="s">
        <v>22</v>
      </c>
    </row>
    <row r="529" spans="1:4" s="1" customFormat="1">
      <c r="A529" s="45">
        <v>529</v>
      </c>
      <c r="B529" s="1" t="s">
        <v>336</v>
      </c>
      <c r="C529" s="2" t="s">
        <v>23</v>
      </c>
    </row>
    <row r="530" spans="1:4" s="1" customFormat="1">
      <c r="A530" s="45">
        <v>530</v>
      </c>
      <c r="B530" s="1" t="s">
        <v>336</v>
      </c>
      <c r="C530" s="2" t="s">
        <v>24</v>
      </c>
    </row>
    <row r="531" spans="1:4" s="1" customFormat="1">
      <c r="A531" s="45">
        <v>531</v>
      </c>
      <c r="B531" s="1" t="s">
        <v>485</v>
      </c>
      <c r="C531" s="2" t="s">
        <v>196</v>
      </c>
    </row>
    <row r="532" spans="1:4" s="1" customFormat="1">
      <c r="A532" s="45">
        <v>532</v>
      </c>
      <c r="C532" s="2" t="s">
        <v>8</v>
      </c>
    </row>
    <row r="533" spans="1:4" s="1" customFormat="1">
      <c r="A533" s="45">
        <v>533</v>
      </c>
      <c r="C533" s="2" t="s">
        <v>8</v>
      </c>
    </row>
    <row r="534" spans="1:4" s="1" customFormat="1">
      <c r="A534" s="45">
        <v>534</v>
      </c>
      <c r="C534" s="2" t="s">
        <v>8</v>
      </c>
    </row>
    <row r="535" spans="1:4" s="1" customFormat="1" ht="14.25" thickBot="1">
      <c r="A535" s="45">
        <v>535</v>
      </c>
      <c r="B535" s="49"/>
      <c r="C535" s="50" t="s">
        <v>8</v>
      </c>
    </row>
    <row r="536" spans="1:4" s="1" customFormat="1">
      <c r="A536" s="45">
        <v>536</v>
      </c>
      <c r="B536" s="1" t="s">
        <v>336</v>
      </c>
      <c r="C536" s="48" t="s">
        <v>15</v>
      </c>
      <c r="D536" s="1" t="s">
        <v>198</v>
      </c>
    </row>
    <row r="537" spans="1:4" s="1" customFormat="1">
      <c r="A537" s="45">
        <v>537</v>
      </c>
      <c r="B537" s="1" t="s">
        <v>336</v>
      </c>
      <c r="C537" s="2" t="s">
        <v>16</v>
      </c>
    </row>
    <row r="538" spans="1:4" s="1" customFormat="1">
      <c r="A538" s="45">
        <v>538</v>
      </c>
      <c r="B538" s="1" t="s">
        <v>336</v>
      </c>
      <c r="C538" s="2" t="s">
        <v>17</v>
      </c>
    </row>
    <row r="539" spans="1:4" s="1" customFormat="1">
      <c r="A539" s="45">
        <v>539</v>
      </c>
      <c r="B539" s="1" t="s">
        <v>336</v>
      </c>
      <c r="C539" s="2" t="s">
        <v>18</v>
      </c>
    </row>
    <row r="540" spans="1:4" s="1" customFormat="1">
      <c r="A540" s="45">
        <v>540</v>
      </c>
      <c r="B540" s="1" t="s">
        <v>336</v>
      </c>
      <c r="C540" s="2" t="s">
        <v>19</v>
      </c>
    </row>
    <row r="541" spans="1:4" s="1" customFormat="1">
      <c r="A541" s="45">
        <v>541</v>
      </c>
      <c r="B541" s="1" t="s">
        <v>336</v>
      </c>
      <c r="C541" s="2" t="s">
        <v>20</v>
      </c>
    </row>
    <row r="542" spans="1:4" s="1" customFormat="1">
      <c r="A542" s="45">
        <v>542</v>
      </c>
      <c r="B542" s="1" t="s">
        <v>336</v>
      </c>
      <c r="C542" s="2" t="s">
        <v>21</v>
      </c>
    </row>
    <row r="543" spans="1:4" s="1" customFormat="1">
      <c r="A543" s="45">
        <v>543</v>
      </c>
      <c r="B543" s="1" t="s">
        <v>336</v>
      </c>
      <c r="C543" s="2" t="s">
        <v>22</v>
      </c>
    </row>
    <row r="544" spans="1:4" s="1" customFormat="1">
      <c r="A544" s="45">
        <v>544</v>
      </c>
      <c r="B544" s="1" t="s">
        <v>336</v>
      </c>
      <c r="C544" s="2" t="s">
        <v>23</v>
      </c>
    </row>
    <row r="545" spans="1:4" s="1" customFormat="1">
      <c r="A545" s="45">
        <v>545</v>
      </c>
      <c r="B545" s="1" t="s">
        <v>336</v>
      </c>
      <c r="C545" s="2" t="s">
        <v>24</v>
      </c>
    </row>
    <row r="546" spans="1:4" s="1" customFormat="1">
      <c r="A546" s="45">
        <v>546</v>
      </c>
      <c r="B546" s="1" t="s">
        <v>486</v>
      </c>
      <c r="C546" s="2" t="s">
        <v>196</v>
      </c>
    </row>
    <row r="547" spans="1:4" s="1" customFormat="1">
      <c r="A547" s="45">
        <v>547</v>
      </c>
      <c r="C547" s="2" t="s">
        <v>8</v>
      </c>
    </row>
    <row r="548" spans="1:4" s="1" customFormat="1">
      <c r="A548" s="45">
        <v>548</v>
      </c>
      <c r="C548" s="2" t="s">
        <v>8</v>
      </c>
    </row>
    <row r="549" spans="1:4" s="1" customFormat="1">
      <c r="A549" s="45">
        <v>549</v>
      </c>
      <c r="C549" s="2" t="s">
        <v>8</v>
      </c>
    </row>
    <row r="550" spans="1:4" s="1" customFormat="1" ht="14.25" thickBot="1">
      <c r="A550" s="45">
        <v>550</v>
      </c>
      <c r="B550" s="49"/>
      <c r="C550" s="50" t="s">
        <v>8</v>
      </c>
    </row>
    <row r="551" spans="1:4" s="1" customFormat="1">
      <c r="A551" s="45">
        <v>551</v>
      </c>
      <c r="B551" s="1" t="s">
        <v>336</v>
      </c>
      <c r="C551" s="48" t="s">
        <v>15</v>
      </c>
      <c r="D551" s="1" t="s">
        <v>199</v>
      </c>
    </row>
    <row r="552" spans="1:4" s="1" customFormat="1">
      <c r="A552" s="45">
        <v>552</v>
      </c>
      <c r="B552" s="1" t="s">
        <v>336</v>
      </c>
      <c r="C552" s="2" t="s">
        <v>16</v>
      </c>
    </row>
    <row r="553" spans="1:4" s="1" customFormat="1">
      <c r="A553" s="45">
        <v>553</v>
      </c>
      <c r="B553" s="1" t="s">
        <v>336</v>
      </c>
      <c r="C553" s="2" t="s">
        <v>17</v>
      </c>
    </row>
    <row r="554" spans="1:4" s="1" customFormat="1">
      <c r="A554" s="45">
        <v>554</v>
      </c>
      <c r="B554" s="1" t="s">
        <v>336</v>
      </c>
      <c r="C554" s="2" t="s">
        <v>18</v>
      </c>
    </row>
    <row r="555" spans="1:4" s="1" customFormat="1">
      <c r="A555" s="45">
        <v>555</v>
      </c>
      <c r="B555" s="1" t="s">
        <v>336</v>
      </c>
      <c r="C555" s="2" t="s">
        <v>19</v>
      </c>
    </row>
    <row r="556" spans="1:4" s="1" customFormat="1">
      <c r="A556" s="45">
        <v>556</v>
      </c>
      <c r="B556" s="1" t="s">
        <v>336</v>
      </c>
      <c r="C556" s="2" t="s">
        <v>20</v>
      </c>
    </row>
    <row r="557" spans="1:4" s="1" customFormat="1">
      <c r="A557" s="45">
        <v>557</v>
      </c>
      <c r="B557" s="1" t="s">
        <v>336</v>
      </c>
      <c r="C557" s="2" t="s">
        <v>21</v>
      </c>
    </row>
    <row r="558" spans="1:4" s="1" customFormat="1">
      <c r="A558" s="45">
        <v>558</v>
      </c>
      <c r="B558" s="1" t="s">
        <v>336</v>
      </c>
      <c r="C558" s="2" t="s">
        <v>22</v>
      </c>
    </row>
    <row r="559" spans="1:4" s="1" customFormat="1">
      <c r="A559" s="45">
        <v>559</v>
      </c>
      <c r="B559" s="1" t="s">
        <v>336</v>
      </c>
      <c r="C559" s="2" t="s">
        <v>23</v>
      </c>
    </row>
    <row r="560" spans="1:4" s="1" customFormat="1">
      <c r="A560" s="45">
        <v>560</v>
      </c>
      <c r="B560" s="1" t="s">
        <v>336</v>
      </c>
      <c r="C560" s="2" t="s">
        <v>24</v>
      </c>
    </row>
    <row r="561" spans="1:4" s="1" customFormat="1">
      <c r="A561" s="45">
        <v>561</v>
      </c>
      <c r="B561" s="1" t="s">
        <v>487</v>
      </c>
      <c r="C561" s="2" t="s">
        <v>196</v>
      </c>
    </row>
    <row r="562" spans="1:4" s="1" customFormat="1">
      <c r="A562" s="45">
        <v>562</v>
      </c>
      <c r="C562" s="2" t="s">
        <v>8</v>
      </c>
    </row>
    <row r="563" spans="1:4" s="1" customFormat="1">
      <c r="A563" s="45">
        <v>563</v>
      </c>
      <c r="C563" s="2" t="s">
        <v>8</v>
      </c>
    </row>
    <row r="564" spans="1:4" s="1" customFormat="1">
      <c r="A564" s="45">
        <v>564</v>
      </c>
      <c r="C564" s="2" t="s">
        <v>8</v>
      </c>
    </row>
    <row r="565" spans="1:4" s="1" customFormat="1" ht="14.25" thickBot="1">
      <c r="A565" s="45">
        <v>565</v>
      </c>
      <c r="B565" s="49"/>
      <c r="C565" s="50" t="s">
        <v>8</v>
      </c>
    </row>
    <row r="566" spans="1:4" s="1" customFormat="1">
      <c r="A566" s="45">
        <v>566</v>
      </c>
      <c r="B566" s="1" t="s">
        <v>336</v>
      </c>
      <c r="C566" s="48" t="s">
        <v>15</v>
      </c>
      <c r="D566" s="1" t="s">
        <v>200</v>
      </c>
    </row>
    <row r="567" spans="1:4" s="1" customFormat="1">
      <c r="A567" s="45">
        <v>567</v>
      </c>
      <c r="B567" s="1" t="s">
        <v>336</v>
      </c>
      <c r="C567" s="2" t="s">
        <v>16</v>
      </c>
    </row>
    <row r="568" spans="1:4" s="1" customFormat="1">
      <c r="A568" s="45">
        <v>568</v>
      </c>
      <c r="B568" s="1" t="s">
        <v>336</v>
      </c>
      <c r="C568" s="2" t="s">
        <v>17</v>
      </c>
    </row>
    <row r="569" spans="1:4" s="1" customFormat="1">
      <c r="A569" s="45">
        <v>569</v>
      </c>
      <c r="B569" s="1" t="s">
        <v>336</v>
      </c>
      <c r="C569" s="2" t="s">
        <v>18</v>
      </c>
    </row>
    <row r="570" spans="1:4" s="1" customFormat="1">
      <c r="A570" s="45">
        <v>570</v>
      </c>
      <c r="B570" s="1" t="s">
        <v>336</v>
      </c>
      <c r="C570" s="2" t="s">
        <v>19</v>
      </c>
    </row>
    <row r="571" spans="1:4" s="1" customFormat="1">
      <c r="A571" s="45">
        <v>571</v>
      </c>
      <c r="B571" s="1" t="s">
        <v>336</v>
      </c>
      <c r="C571" s="2" t="s">
        <v>20</v>
      </c>
    </row>
    <row r="572" spans="1:4" s="1" customFormat="1">
      <c r="A572" s="45">
        <v>572</v>
      </c>
      <c r="B572" s="1" t="s">
        <v>336</v>
      </c>
      <c r="C572" s="2" t="s">
        <v>21</v>
      </c>
    </row>
    <row r="573" spans="1:4" s="1" customFormat="1">
      <c r="A573" s="45">
        <v>573</v>
      </c>
      <c r="B573" s="1" t="s">
        <v>336</v>
      </c>
      <c r="C573" s="2" t="s">
        <v>22</v>
      </c>
    </row>
    <row r="574" spans="1:4" s="1" customFormat="1">
      <c r="A574" s="45">
        <v>574</v>
      </c>
      <c r="B574" s="1" t="s">
        <v>336</v>
      </c>
      <c r="C574" s="2" t="s">
        <v>23</v>
      </c>
    </row>
    <row r="575" spans="1:4" s="1" customFormat="1">
      <c r="A575" s="45">
        <v>575</v>
      </c>
      <c r="B575" s="1" t="s">
        <v>336</v>
      </c>
      <c r="C575" s="2" t="s">
        <v>24</v>
      </c>
    </row>
    <row r="576" spans="1:4" s="1" customFormat="1">
      <c r="A576" s="45">
        <v>576</v>
      </c>
      <c r="B576" s="1" t="s">
        <v>488</v>
      </c>
      <c r="C576" s="2" t="s">
        <v>196</v>
      </c>
    </row>
    <row r="577" spans="1:4" s="1" customFormat="1">
      <c r="A577" s="45">
        <v>577</v>
      </c>
      <c r="C577" s="2" t="s">
        <v>8</v>
      </c>
    </row>
    <row r="578" spans="1:4" s="1" customFormat="1">
      <c r="A578" s="45">
        <v>578</v>
      </c>
      <c r="C578" s="2" t="s">
        <v>8</v>
      </c>
    </row>
    <row r="579" spans="1:4" s="1" customFormat="1">
      <c r="A579" s="45">
        <v>579</v>
      </c>
      <c r="C579" s="2" t="s">
        <v>8</v>
      </c>
    </row>
    <row r="580" spans="1:4" s="1" customFormat="1" ht="14.25" thickBot="1">
      <c r="A580" s="45">
        <v>580</v>
      </c>
      <c r="B580" s="49"/>
      <c r="C580" s="50" t="s">
        <v>8</v>
      </c>
    </row>
    <row r="581" spans="1:4" s="1" customFormat="1">
      <c r="A581" s="45">
        <v>581</v>
      </c>
      <c r="B581" s="1" t="s">
        <v>336</v>
      </c>
      <c r="C581" s="48" t="s">
        <v>15</v>
      </c>
      <c r="D581" s="1" t="s">
        <v>201</v>
      </c>
    </row>
    <row r="582" spans="1:4" s="1" customFormat="1">
      <c r="A582" s="45">
        <v>582</v>
      </c>
      <c r="B582" s="1" t="s">
        <v>336</v>
      </c>
      <c r="C582" s="2" t="s">
        <v>16</v>
      </c>
    </row>
    <row r="583" spans="1:4" s="1" customFormat="1">
      <c r="A583" s="45">
        <v>583</v>
      </c>
      <c r="B583" s="1" t="s">
        <v>336</v>
      </c>
      <c r="C583" s="2" t="s">
        <v>17</v>
      </c>
    </row>
    <row r="584" spans="1:4" s="1" customFormat="1">
      <c r="A584" s="45">
        <v>584</v>
      </c>
      <c r="B584" s="1" t="s">
        <v>336</v>
      </c>
      <c r="C584" s="2" t="s">
        <v>18</v>
      </c>
    </row>
    <row r="585" spans="1:4" s="1" customFormat="1">
      <c r="A585" s="45">
        <v>585</v>
      </c>
      <c r="B585" s="1" t="s">
        <v>336</v>
      </c>
      <c r="C585" s="2" t="s">
        <v>19</v>
      </c>
    </row>
    <row r="586" spans="1:4" s="1" customFormat="1">
      <c r="A586" s="45">
        <v>586</v>
      </c>
      <c r="B586" s="1" t="s">
        <v>336</v>
      </c>
      <c r="C586" s="2" t="s">
        <v>20</v>
      </c>
    </row>
    <row r="587" spans="1:4" s="1" customFormat="1">
      <c r="A587" s="45">
        <v>587</v>
      </c>
      <c r="B587" s="1" t="s">
        <v>336</v>
      </c>
      <c r="C587" s="2" t="s">
        <v>21</v>
      </c>
    </row>
    <row r="588" spans="1:4" s="1" customFormat="1">
      <c r="A588" s="45">
        <v>588</v>
      </c>
      <c r="B588" s="1" t="s">
        <v>336</v>
      </c>
      <c r="C588" s="2" t="s">
        <v>22</v>
      </c>
    </row>
    <row r="589" spans="1:4" s="1" customFormat="1">
      <c r="A589" s="45">
        <v>589</v>
      </c>
      <c r="B589" s="1" t="s">
        <v>336</v>
      </c>
      <c r="C589" s="2" t="s">
        <v>23</v>
      </c>
    </row>
    <row r="590" spans="1:4" s="1" customFormat="1">
      <c r="A590" s="45">
        <v>590</v>
      </c>
      <c r="B590" s="1" t="s">
        <v>336</v>
      </c>
      <c r="C590" s="2" t="s">
        <v>24</v>
      </c>
    </row>
    <row r="591" spans="1:4" s="1" customFormat="1">
      <c r="A591" s="45">
        <v>591</v>
      </c>
      <c r="B591" s="1" t="s">
        <v>489</v>
      </c>
      <c r="C591" s="2" t="s">
        <v>196</v>
      </c>
    </row>
    <row r="592" spans="1:4" s="1" customFormat="1">
      <c r="A592" s="45">
        <v>592</v>
      </c>
      <c r="C592" s="2" t="s">
        <v>8</v>
      </c>
    </row>
    <row r="593" spans="1:4" s="1" customFormat="1">
      <c r="A593" s="45">
        <v>593</v>
      </c>
      <c r="C593" s="2" t="s">
        <v>8</v>
      </c>
    </row>
    <row r="594" spans="1:4" s="1" customFormat="1">
      <c r="A594" s="45">
        <v>594</v>
      </c>
      <c r="C594" s="2" t="s">
        <v>8</v>
      </c>
    </row>
    <row r="595" spans="1:4" s="1" customFormat="1" ht="14.25" thickBot="1">
      <c r="A595" s="45">
        <v>595</v>
      </c>
      <c r="B595" s="49"/>
      <c r="C595" s="50" t="s">
        <v>8</v>
      </c>
    </row>
    <row r="596" spans="1:4" s="1" customFormat="1">
      <c r="A596" s="45">
        <v>596</v>
      </c>
      <c r="B596" s="1" t="s">
        <v>336</v>
      </c>
      <c r="C596" s="48" t="s">
        <v>15</v>
      </c>
      <c r="D596" s="1" t="s">
        <v>202</v>
      </c>
    </row>
    <row r="597" spans="1:4" s="1" customFormat="1">
      <c r="A597" s="45">
        <v>597</v>
      </c>
      <c r="B597" s="1" t="s">
        <v>336</v>
      </c>
      <c r="C597" s="2" t="s">
        <v>16</v>
      </c>
    </row>
    <row r="598" spans="1:4" s="1" customFormat="1">
      <c r="A598" s="45">
        <v>598</v>
      </c>
      <c r="B598" s="1" t="s">
        <v>336</v>
      </c>
      <c r="C598" s="2" t="s">
        <v>17</v>
      </c>
    </row>
    <row r="599" spans="1:4" s="1" customFormat="1">
      <c r="A599" s="45">
        <v>599</v>
      </c>
      <c r="B599" s="1" t="s">
        <v>336</v>
      </c>
      <c r="C599" s="2" t="s">
        <v>18</v>
      </c>
    </row>
    <row r="600" spans="1:4" s="1" customFormat="1">
      <c r="A600" s="45">
        <v>600</v>
      </c>
      <c r="B600" s="1" t="s">
        <v>336</v>
      </c>
      <c r="C600" s="2" t="s">
        <v>19</v>
      </c>
    </row>
    <row r="601" spans="1:4" s="1" customFormat="1">
      <c r="A601" s="45">
        <v>601</v>
      </c>
      <c r="B601" s="1" t="s">
        <v>336</v>
      </c>
      <c r="C601" s="2" t="s">
        <v>20</v>
      </c>
    </row>
    <row r="602" spans="1:4" s="1" customFormat="1">
      <c r="A602" s="45">
        <v>602</v>
      </c>
      <c r="B602" s="1" t="s">
        <v>336</v>
      </c>
      <c r="C602" s="2" t="s">
        <v>21</v>
      </c>
    </row>
    <row r="603" spans="1:4" s="1" customFormat="1">
      <c r="A603" s="45">
        <v>603</v>
      </c>
      <c r="B603" s="1" t="s">
        <v>336</v>
      </c>
      <c r="C603" s="2" t="s">
        <v>22</v>
      </c>
    </row>
    <row r="604" spans="1:4" s="1" customFormat="1">
      <c r="A604" s="45">
        <v>604</v>
      </c>
      <c r="B604" s="1" t="s">
        <v>336</v>
      </c>
      <c r="C604" s="2" t="s">
        <v>23</v>
      </c>
    </row>
    <row r="605" spans="1:4" s="1" customFormat="1">
      <c r="A605" s="45">
        <v>605</v>
      </c>
      <c r="B605" s="1" t="s">
        <v>336</v>
      </c>
      <c r="C605" s="2" t="s">
        <v>24</v>
      </c>
    </row>
    <row r="606" spans="1:4" s="1" customFormat="1">
      <c r="A606" s="45">
        <v>606</v>
      </c>
      <c r="B606" s="1" t="s">
        <v>490</v>
      </c>
      <c r="C606" s="2" t="s">
        <v>196</v>
      </c>
    </row>
    <row r="607" spans="1:4" s="1" customFormat="1">
      <c r="A607" s="45">
        <v>607</v>
      </c>
      <c r="C607" s="2" t="s">
        <v>8</v>
      </c>
    </row>
    <row r="608" spans="1:4" s="1" customFormat="1">
      <c r="A608" s="45">
        <v>608</v>
      </c>
      <c r="C608" s="2" t="s">
        <v>8</v>
      </c>
    </row>
    <row r="609" spans="1:4" s="1" customFormat="1">
      <c r="A609" s="45">
        <v>609</v>
      </c>
      <c r="C609" s="2" t="s">
        <v>8</v>
      </c>
    </row>
    <row r="610" spans="1:4" s="1" customFormat="1" ht="14.25" thickBot="1">
      <c r="A610" s="45">
        <v>610</v>
      </c>
      <c r="B610" s="49"/>
      <c r="C610" s="50" t="s">
        <v>8</v>
      </c>
    </row>
    <row r="611" spans="1:4" s="1" customFormat="1">
      <c r="A611" s="45">
        <v>611</v>
      </c>
      <c r="B611" s="1" t="s">
        <v>336</v>
      </c>
      <c r="C611" s="48" t="s">
        <v>15</v>
      </c>
      <c r="D611" s="1" t="s">
        <v>203</v>
      </c>
    </row>
    <row r="612" spans="1:4" s="1" customFormat="1">
      <c r="A612" s="45">
        <v>612</v>
      </c>
      <c r="B612" s="1" t="s">
        <v>336</v>
      </c>
      <c r="C612" s="2" t="s">
        <v>16</v>
      </c>
    </row>
    <row r="613" spans="1:4" s="1" customFormat="1">
      <c r="A613" s="45">
        <v>613</v>
      </c>
      <c r="B613" s="1" t="s">
        <v>336</v>
      </c>
      <c r="C613" s="2" t="s">
        <v>17</v>
      </c>
    </row>
    <row r="614" spans="1:4" s="1" customFormat="1">
      <c r="A614" s="45">
        <v>614</v>
      </c>
      <c r="B614" s="1" t="s">
        <v>336</v>
      </c>
      <c r="C614" s="2" t="s">
        <v>18</v>
      </c>
    </row>
    <row r="615" spans="1:4" s="1" customFormat="1">
      <c r="A615" s="45">
        <v>615</v>
      </c>
      <c r="B615" s="1" t="s">
        <v>336</v>
      </c>
      <c r="C615" s="2" t="s">
        <v>19</v>
      </c>
    </row>
    <row r="616" spans="1:4" s="1" customFormat="1">
      <c r="A616" s="45">
        <v>616</v>
      </c>
      <c r="B616" s="1" t="s">
        <v>336</v>
      </c>
      <c r="C616" s="2" t="s">
        <v>20</v>
      </c>
    </row>
    <row r="617" spans="1:4" s="1" customFormat="1">
      <c r="A617" s="45">
        <v>617</v>
      </c>
      <c r="B617" s="1" t="s">
        <v>336</v>
      </c>
      <c r="C617" s="2" t="s">
        <v>21</v>
      </c>
    </row>
    <row r="618" spans="1:4" s="1" customFormat="1">
      <c r="A618" s="45">
        <v>618</v>
      </c>
      <c r="B618" s="1" t="s">
        <v>336</v>
      </c>
      <c r="C618" s="2" t="s">
        <v>22</v>
      </c>
    </row>
    <row r="619" spans="1:4" s="1" customFormat="1">
      <c r="A619" s="45">
        <v>619</v>
      </c>
      <c r="B619" s="1" t="s">
        <v>336</v>
      </c>
      <c r="C619" s="2" t="s">
        <v>23</v>
      </c>
    </row>
    <row r="620" spans="1:4" s="1" customFormat="1">
      <c r="A620" s="45">
        <v>620</v>
      </c>
      <c r="B620" s="1" t="s">
        <v>336</v>
      </c>
      <c r="C620" s="2" t="s">
        <v>24</v>
      </c>
    </row>
    <row r="621" spans="1:4" s="1" customFormat="1">
      <c r="A621" s="45">
        <v>621</v>
      </c>
      <c r="B621" s="1" t="s">
        <v>491</v>
      </c>
      <c r="C621" s="2" t="s">
        <v>196</v>
      </c>
    </row>
    <row r="622" spans="1:4" s="1" customFormat="1">
      <c r="A622" s="45">
        <v>622</v>
      </c>
      <c r="C622" s="2" t="s">
        <v>8</v>
      </c>
    </row>
    <row r="623" spans="1:4" s="1" customFormat="1">
      <c r="A623" s="45">
        <v>623</v>
      </c>
      <c r="C623" s="2" t="s">
        <v>8</v>
      </c>
    </row>
    <row r="624" spans="1:4" s="1" customFormat="1">
      <c r="A624" s="45">
        <v>624</v>
      </c>
      <c r="C624" s="2" t="s">
        <v>8</v>
      </c>
    </row>
    <row r="625" spans="1:4" s="1" customFormat="1" ht="14.25" thickBot="1">
      <c r="A625" s="45">
        <v>625</v>
      </c>
      <c r="B625" s="49"/>
      <c r="C625" s="50" t="s">
        <v>8</v>
      </c>
    </row>
    <row r="626" spans="1:4" s="1" customFormat="1">
      <c r="A626" s="45">
        <v>626</v>
      </c>
      <c r="B626" s="1" t="s">
        <v>336</v>
      </c>
      <c r="C626" s="48" t="s">
        <v>15</v>
      </c>
      <c r="D626" s="1" t="s">
        <v>204</v>
      </c>
    </row>
    <row r="627" spans="1:4" s="1" customFormat="1">
      <c r="A627" s="45">
        <v>627</v>
      </c>
      <c r="B627" s="1" t="s">
        <v>336</v>
      </c>
      <c r="C627" s="2" t="s">
        <v>16</v>
      </c>
    </row>
    <row r="628" spans="1:4" s="1" customFormat="1">
      <c r="A628" s="45">
        <v>628</v>
      </c>
      <c r="B628" s="1" t="s">
        <v>336</v>
      </c>
      <c r="C628" s="2" t="s">
        <v>17</v>
      </c>
    </row>
    <row r="629" spans="1:4" s="1" customFormat="1">
      <c r="A629" s="45">
        <v>629</v>
      </c>
      <c r="B629" s="1" t="s">
        <v>336</v>
      </c>
      <c r="C629" s="2" t="s">
        <v>18</v>
      </c>
    </row>
    <row r="630" spans="1:4" s="1" customFormat="1">
      <c r="A630" s="45">
        <v>630</v>
      </c>
      <c r="B630" s="1" t="s">
        <v>336</v>
      </c>
      <c r="C630" s="2" t="s">
        <v>19</v>
      </c>
    </row>
    <row r="631" spans="1:4" s="1" customFormat="1">
      <c r="A631" s="45">
        <v>631</v>
      </c>
      <c r="B631" s="1" t="s">
        <v>336</v>
      </c>
      <c r="C631" s="2" t="s">
        <v>20</v>
      </c>
    </row>
    <row r="632" spans="1:4" s="1" customFormat="1">
      <c r="A632" s="45">
        <v>632</v>
      </c>
      <c r="B632" s="1" t="s">
        <v>336</v>
      </c>
      <c r="C632" s="2" t="s">
        <v>21</v>
      </c>
    </row>
    <row r="633" spans="1:4" s="1" customFormat="1">
      <c r="A633" s="45">
        <v>633</v>
      </c>
      <c r="B633" s="1" t="s">
        <v>336</v>
      </c>
      <c r="C633" s="2" t="s">
        <v>22</v>
      </c>
    </row>
    <row r="634" spans="1:4" s="1" customFormat="1">
      <c r="A634" s="45">
        <v>634</v>
      </c>
      <c r="B634" s="1" t="s">
        <v>336</v>
      </c>
      <c r="C634" s="2" t="s">
        <v>23</v>
      </c>
    </row>
    <row r="635" spans="1:4" s="1" customFormat="1">
      <c r="A635" s="45">
        <v>635</v>
      </c>
      <c r="B635" s="1" t="s">
        <v>336</v>
      </c>
      <c r="C635" s="2" t="s">
        <v>24</v>
      </c>
    </row>
    <row r="636" spans="1:4" s="1" customFormat="1">
      <c r="A636" s="45">
        <v>636</v>
      </c>
      <c r="B636" s="1" t="s">
        <v>492</v>
      </c>
      <c r="C636" s="2" t="s">
        <v>196</v>
      </c>
    </row>
    <row r="637" spans="1:4" s="1" customFormat="1">
      <c r="A637" s="45">
        <v>637</v>
      </c>
      <c r="C637" s="2" t="s">
        <v>8</v>
      </c>
    </row>
    <row r="638" spans="1:4" s="1" customFormat="1">
      <c r="A638" s="45">
        <v>638</v>
      </c>
      <c r="C638" s="2" t="s">
        <v>8</v>
      </c>
    </row>
    <row r="639" spans="1:4" s="1" customFormat="1">
      <c r="A639" s="45">
        <v>639</v>
      </c>
      <c r="C639" s="2" t="s">
        <v>8</v>
      </c>
    </row>
    <row r="640" spans="1:4" s="1" customFormat="1" ht="14.25" thickBot="1">
      <c r="A640" s="45">
        <v>640</v>
      </c>
      <c r="B640" s="49"/>
      <c r="C640" s="50" t="s">
        <v>8</v>
      </c>
    </row>
    <row r="641" spans="1:4" s="1" customFormat="1">
      <c r="A641" s="45">
        <v>641</v>
      </c>
      <c r="B641" s="1" t="s">
        <v>336</v>
      </c>
      <c r="C641" s="48" t="s">
        <v>15</v>
      </c>
      <c r="D641" s="1" t="s">
        <v>205</v>
      </c>
    </row>
    <row r="642" spans="1:4" s="1" customFormat="1">
      <c r="A642" s="45">
        <v>642</v>
      </c>
      <c r="B642" s="1" t="s">
        <v>336</v>
      </c>
      <c r="C642" s="2" t="s">
        <v>16</v>
      </c>
    </row>
    <row r="643" spans="1:4" s="1" customFormat="1">
      <c r="A643" s="45">
        <v>643</v>
      </c>
      <c r="B643" s="1" t="s">
        <v>336</v>
      </c>
      <c r="C643" s="2" t="s">
        <v>17</v>
      </c>
    </row>
    <row r="644" spans="1:4" s="1" customFormat="1">
      <c r="A644" s="45">
        <v>644</v>
      </c>
      <c r="B644" s="1" t="s">
        <v>336</v>
      </c>
      <c r="C644" s="2" t="s">
        <v>18</v>
      </c>
    </row>
    <row r="645" spans="1:4" s="1" customFormat="1">
      <c r="A645" s="45">
        <v>645</v>
      </c>
      <c r="B645" s="1" t="s">
        <v>336</v>
      </c>
      <c r="C645" s="2" t="s">
        <v>19</v>
      </c>
    </row>
    <row r="646" spans="1:4" s="1" customFormat="1">
      <c r="A646" s="45">
        <v>646</v>
      </c>
      <c r="B646" s="1" t="s">
        <v>336</v>
      </c>
      <c r="C646" s="2" t="s">
        <v>20</v>
      </c>
    </row>
    <row r="647" spans="1:4" s="1" customFormat="1">
      <c r="A647" s="45">
        <v>647</v>
      </c>
      <c r="B647" s="1" t="s">
        <v>336</v>
      </c>
      <c r="C647" s="2" t="s">
        <v>21</v>
      </c>
    </row>
    <row r="648" spans="1:4" s="1" customFormat="1">
      <c r="A648" s="45">
        <v>648</v>
      </c>
      <c r="B648" s="1" t="s">
        <v>336</v>
      </c>
      <c r="C648" s="2" t="s">
        <v>22</v>
      </c>
    </row>
    <row r="649" spans="1:4" s="1" customFormat="1">
      <c r="A649" s="45">
        <v>649</v>
      </c>
      <c r="B649" s="1" t="s">
        <v>336</v>
      </c>
      <c r="C649" s="2" t="s">
        <v>23</v>
      </c>
    </row>
    <row r="650" spans="1:4" s="1" customFormat="1">
      <c r="A650" s="45">
        <v>650</v>
      </c>
      <c r="B650" s="1" t="s">
        <v>336</v>
      </c>
      <c r="C650" s="2" t="s">
        <v>24</v>
      </c>
    </row>
    <row r="651" spans="1:4" s="1" customFormat="1">
      <c r="A651" s="45">
        <v>651</v>
      </c>
      <c r="B651" s="1" t="s">
        <v>512</v>
      </c>
      <c r="C651" s="2" t="s">
        <v>196</v>
      </c>
    </row>
    <row r="652" spans="1:4" s="1" customFormat="1">
      <c r="A652" s="45">
        <v>652</v>
      </c>
      <c r="C652" s="2" t="s">
        <v>8</v>
      </c>
    </row>
    <row r="653" spans="1:4" s="1" customFormat="1">
      <c r="A653" s="45">
        <v>653</v>
      </c>
      <c r="C653" s="2" t="s">
        <v>8</v>
      </c>
    </row>
    <row r="654" spans="1:4" s="1" customFormat="1">
      <c r="A654" s="45">
        <v>654</v>
      </c>
      <c r="C654" s="2" t="s">
        <v>8</v>
      </c>
    </row>
    <row r="655" spans="1:4" s="1" customFormat="1" ht="14.25" thickBot="1">
      <c r="A655" s="45">
        <v>655</v>
      </c>
      <c r="B655" s="49"/>
      <c r="C655" s="50" t="s">
        <v>8</v>
      </c>
    </row>
    <row r="656" spans="1:4" s="1" customFormat="1">
      <c r="A656" s="45">
        <v>656</v>
      </c>
      <c r="B656" s="1" t="s">
        <v>336</v>
      </c>
      <c r="C656" s="48" t="s">
        <v>15</v>
      </c>
      <c r="D656" s="1" t="s">
        <v>206</v>
      </c>
    </row>
    <row r="657" spans="1:4" s="1" customFormat="1">
      <c r="A657" s="45">
        <v>657</v>
      </c>
      <c r="B657" s="1" t="s">
        <v>336</v>
      </c>
      <c r="C657" s="2" t="s">
        <v>16</v>
      </c>
    </row>
    <row r="658" spans="1:4" s="1" customFormat="1">
      <c r="A658" s="45">
        <v>658</v>
      </c>
      <c r="B658" s="1" t="s">
        <v>336</v>
      </c>
      <c r="C658" s="2" t="s">
        <v>17</v>
      </c>
    </row>
    <row r="659" spans="1:4" s="1" customFormat="1">
      <c r="A659" s="45">
        <v>659</v>
      </c>
      <c r="B659" s="1" t="s">
        <v>336</v>
      </c>
      <c r="C659" s="2" t="s">
        <v>18</v>
      </c>
    </row>
    <row r="660" spans="1:4" s="1" customFormat="1">
      <c r="A660" s="45">
        <v>660</v>
      </c>
      <c r="B660" s="1" t="s">
        <v>336</v>
      </c>
      <c r="C660" s="2" t="s">
        <v>19</v>
      </c>
    </row>
    <row r="661" spans="1:4" s="1" customFormat="1">
      <c r="A661" s="45">
        <v>661</v>
      </c>
      <c r="B661" s="1" t="s">
        <v>336</v>
      </c>
      <c r="C661" s="2" t="s">
        <v>20</v>
      </c>
    </row>
    <row r="662" spans="1:4" s="1" customFormat="1">
      <c r="A662" s="45">
        <v>662</v>
      </c>
      <c r="B662" s="1" t="s">
        <v>336</v>
      </c>
      <c r="C662" s="2" t="s">
        <v>21</v>
      </c>
    </row>
    <row r="663" spans="1:4" s="1" customFormat="1">
      <c r="A663" s="45">
        <v>663</v>
      </c>
      <c r="B663" s="1" t="s">
        <v>336</v>
      </c>
      <c r="C663" s="2" t="s">
        <v>22</v>
      </c>
    </row>
    <row r="664" spans="1:4" s="1" customFormat="1">
      <c r="A664" s="45">
        <v>664</v>
      </c>
      <c r="B664" s="1" t="s">
        <v>336</v>
      </c>
      <c r="C664" s="2" t="s">
        <v>23</v>
      </c>
    </row>
    <row r="665" spans="1:4" s="1" customFormat="1">
      <c r="A665" s="45">
        <v>665</v>
      </c>
      <c r="B665" s="1" t="s">
        <v>336</v>
      </c>
      <c r="C665" s="2" t="s">
        <v>24</v>
      </c>
    </row>
    <row r="666" spans="1:4" s="1" customFormat="1">
      <c r="A666" s="45">
        <v>666</v>
      </c>
      <c r="B666" s="1" t="s">
        <v>513</v>
      </c>
      <c r="C666" s="2" t="s">
        <v>196</v>
      </c>
    </row>
    <row r="667" spans="1:4" s="1" customFormat="1">
      <c r="A667" s="45">
        <v>667</v>
      </c>
      <c r="C667" s="2" t="s">
        <v>8</v>
      </c>
    </row>
    <row r="668" spans="1:4" s="1" customFormat="1">
      <c r="A668" s="45">
        <v>668</v>
      </c>
      <c r="C668" s="2" t="s">
        <v>8</v>
      </c>
    </row>
    <row r="669" spans="1:4" s="1" customFormat="1">
      <c r="A669" s="45">
        <v>669</v>
      </c>
      <c r="C669" s="2" t="s">
        <v>8</v>
      </c>
    </row>
    <row r="670" spans="1:4" s="1" customFormat="1" ht="14.25" thickBot="1">
      <c r="A670" s="45">
        <v>670</v>
      </c>
      <c r="B670" s="49"/>
      <c r="C670" s="50" t="s">
        <v>8</v>
      </c>
    </row>
    <row r="671" spans="1:4" s="1" customFormat="1">
      <c r="A671" s="45">
        <v>671</v>
      </c>
      <c r="B671" s="1" t="s">
        <v>336</v>
      </c>
      <c r="C671" s="48" t="s">
        <v>15</v>
      </c>
      <c r="D671" s="1" t="s">
        <v>207</v>
      </c>
    </row>
    <row r="672" spans="1:4" s="1" customFormat="1">
      <c r="A672" s="45">
        <v>672</v>
      </c>
      <c r="B672" s="1" t="s">
        <v>336</v>
      </c>
      <c r="C672" s="2" t="s">
        <v>16</v>
      </c>
    </row>
    <row r="673" spans="1:4" s="1" customFormat="1">
      <c r="A673" s="45">
        <v>673</v>
      </c>
      <c r="B673" s="1" t="s">
        <v>336</v>
      </c>
      <c r="C673" s="2" t="s">
        <v>17</v>
      </c>
    </row>
    <row r="674" spans="1:4" s="1" customFormat="1">
      <c r="A674" s="45">
        <v>674</v>
      </c>
      <c r="B674" s="1" t="s">
        <v>336</v>
      </c>
      <c r="C674" s="2" t="s">
        <v>18</v>
      </c>
    </row>
    <row r="675" spans="1:4" s="1" customFormat="1">
      <c r="A675" s="45">
        <v>675</v>
      </c>
      <c r="B675" s="1" t="s">
        <v>336</v>
      </c>
      <c r="C675" s="2" t="s">
        <v>19</v>
      </c>
    </row>
    <row r="676" spans="1:4" s="1" customFormat="1">
      <c r="A676" s="45">
        <v>676</v>
      </c>
      <c r="B676" s="1" t="s">
        <v>336</v>
      </c>
      <c r="C676" s="2" t="s">
        <v>20</v>
      </c>
    </row>
    <row r="677" spans="1:4" s="1" customFormat="1">
      <c r="A677" s="45">
        <v>677</v>
      </c>
      <c r="B677" s="1" t="s">
        <v>336</v>
      </c>
      <c r="C677" s="2" t="s">
        <v>21</v>
      </c>
    </row>
    <row r="678" spans="1:4" s="1" customFormat="1">
      <c r="A678" s="45">
        <v>678</v>
      </c>
      <c r="B678" s="1" t="s">
        <v>336</v>
      </c>
      <c r="C678" s="2" t="s">
        <v>22</v>
      </c>
    </row>
    <row r="679" spans="1:4" s="1" customFormat="1">
      <c r="A679" s="45">
        <v>679</v>
      </c>
      <c r="B679" s="1" t="s">
        <v>336</v>
      </c>
      <c r="C679" s="2" t="s">
        <v>23</v>
      </c>
    </row>
    <row r="680" spans="1:4" s="1" customFormat="1">
      <c r="A680" s="45">
        <v>680</v>
      </c>
      <c r="B680" s="1" t="s">
        <v>336</v>
      </c>
      <c r="C680" s="2" t="s">
        <v>24</v>
      </c>
    </row>
    <row r="681" spans="1:4" s="1" customFormat="1">
      <c r="A681" s="45">
        <v>681</v>
      </c>
      <c r="B681" s="1" t="s">
        <v>514</v>
      </c>
      <c r="C681" s="2" t="s">
        <v>196</v>
      </c>
    </row>
    <row r="682" spans="1:4" s="1" customFormat="1">
      <c r="A682" s="45">
        <v>682</v>
      </c>
      <c r="C682" s="2" t="s">
        <v>8</v>
      </c>
    </row>
    <row r="683" spans="1:4" s="1" customFormat="1">
      <c r="A683" s="45">
        <v>683</v>
      </c>
      <c r="C683" s="2" t="s">
        <v>8</v>
      </c>
    </row>
    <row r="684" spans="1:4" s="1" customFormat="1">
      <c r="A684" s="45">
        <v>684</v>
      </c>
      <c r="C684" s="2" t="s">
        <v>8</v>
      </c>
    </row>
    <row r="685" spans="1:4" s="1" customFormat="1" ht="14.25" thickBot="1">
      <c r="A685" s="45">
        <v>685</v>
      </c>
      <c r="B685" s="49"/>
      <c r="C685" s="50" t="s">
        <v>8</v>
      </c>
    </row>
    <row r="686" spans="1:4" s="1" customFormat="1">
      <c r="A686" s="45">
        <v>686</v>
      </c>
      <c r="B686" s="1" t="s">
        <v>336</v>
      </c>
      <c r="C686" s="48" t="s">
        <v>15</v>
      </c>
      <c r="D686" s="1" t="s">
        <v>208</v>
      </c>
    </row>
    <row r="687" spans="1:4" s="1" customFormat="1">
      <c r="A687" s="45">
        <v>687</v>
      </c>
      <c r="B687" s="1" t="s">
        <v>336</v>
      </c>
      <c r="C687" s="2" t="s">
        <v>16</v>
      </c>
    </row>
    <row r="688" spans="1:4" s="1" customFormat="1">
      <c r="A688" s="45">
        <v>688</v>
      </c>
      <c r="B688" s="1" t="s">
        <v>336</v>
      </c>
      <c r="C688" s="2" t="s">
        <v>17</v>
      </c>
    </row>
    <row r="689" spans="1:4" s="1" customFormat="1">
      <c r="A689" s="45">
        <v>689</v>
      </c>
      <c r="B689" s="1" t="s">
        <v>336</v>
      </c>
      <c r="C689" s="2" t="s">
        <v>18</v>
      </c>
    </row>
    <row r="690" spans="1:4" s="1" customFormat="1">
      <c r="A690" s="45">
        <v>690</v>
      </c>
      <c r="B690" s="1" t="s">
        <v>336</v>
      </c>
      <c r="C690" s="2" t="s">
        <v>19</v>
      </c>
    </row>
    <row r="691" spans="1:4" s="1" customFormat="1">
      <c r="A691" s="45">
        <v>691</v>
      </c>
      <c r="B691" s="1" t="s">
        <v>336</v>
      </c>
      <c r="C691" s="2" t="s">
        <v>20</v>
      </c>
    </row>
    <row r="692" spans="1:4" s="1" customFormat="1">
      <c r="A692" s="45">
        <v>692</v>
      </c>
      <c r="B692" s="1" t="s">
        <v>336</v>
      </c>
      <c r="C692" s="2" t="s">
        <v>21</v>
      </c>
    </row>
    <row r="693" spans="1:4" s="1" customFormat="1">
      <c r="A693" s="45">
        <v>693</v>
      </c>
      <c r="B693" s="1" t="s">
        <v>336</v>
      </c>
      <c r="C693" s="2" t="s">
        <v>22</v>
      </c>
    </row>
    <row r="694" spans="1:4" s="1" customFormat="1">
      <c r="A694" s="45">
        <v>694</v>
      </c>
      <c r="B694" s="1" t="s">
        <v>336</v>
      </c>
      <c r="C694" s="2" t="s">
        <v>23</v>
      </c>
    </row>
    <row r="695" spans="1:4" s="1" customFormat="1">
      <c r="A695" s="45">
        <v>695</v>
      </c>
      <c r="B695" s="1" t="s">
        <v>336</v>
      </c>
      <c r="C695" s="2" t="s">
        <v>24</v>
      </c>
    </row>
    <row r="696" spans="1:4" s="1" customFormat="1">
      <c r="A696" s="45">
        <v>696</v>
      </c>
      <c r="B696" s="1" t="s">
        <v>515</v>
      </c>
      <c r="C696" s="2" t="s">
        <v>196</v>
      </c>
    </row>
    <row r="697" spans="1:4" s="1" customFormat="1">
      <c r="A697" s="45">
        <v>697</v>
      </c>
      <c r="C697" s="2" t="s">
        <v>8</v>
      </c>
    </row>
    <row r="698" spans="1:4" s="1" customFormat="1">
      <c r="A698" s="45">
        <v>698</v>
      </c>
      <c r="C698" s="2" t="s">
        <v>8</v>
      </c>
    </row>
    <row r="699" spans="1:4" s="1" customFormat="1">
      <c r="A699" s="45">
        <v>699</v>
      </c>
      <c r="C699" s="2" t="s">
        <v>8</v>
      </c>
    </row>
    <row r="700" spans="1:4" s="1" customFormat="1" ht="14.25" thickBot="1">
      <c r="A700" s="45">
        <v>700</v>
      </c>
      <c r="B700" s="49"/>
      <c r="C700" s="50" t="s">
        <v>8</v>
      </c>
    </row>
    <row r="701" spans="1:4" s="1" customFormat="1">
      <c r="A701" s="45">
        <v>701</v>
      </c>
      <c r="C701" s="48" t="s">
        <v>15</v>
      </c>
      <c r="D701" s="1" t="s">
        <v>209</v>
      </c>
    </row>
    <row r="702" spans="1:4" s="1" customFormat="1">
      <c r="A702" s="45">
        <v>702</v>
      </c>
      <c r="C702" s="2" t="s">
        <v>16</v>
      </c>
    </row>
    <row r="703" spans="1:4" s="1" customFormat="1">
      <c r="A703" s="45">
        <v>703</v>
      </c>
      <c r="C703" s="2" t="s">
        <v>17</v>
      </c>
    </row>
    <row r="704" spans="1:4" s="1" customFormat="1">
      <c r="A704" s="45">
        <v>704</v>
      </c>
      <c r="C704" s="2" t="s">
        <v>18</v>
      </c>
    </row>
    <row r="705" spans="1:4" s="1" customFormat="1">
      <c r="A705" s="45">
        <v>705</v>
      </c>
      <c r="C705" s="2" t="s">
        <v>19</v>
      </c>
    </row>
    <row r="706" spans="1:4" s="1" customFormat="1">
      <c r="A706" s="45">
        <v>706</v>
      </c>
      <c r="C706" s="2" t="s">
        <v>20</v>
      </c>
    </row>
    <row r="707" spans="1:4" s="1" customFormat="1">
      <c r="A707" s="45">
        <v>707</v>
      </c>
      <c r="C707" s="2" t="s">
        <v>21</v>
      </c>
    </row>
    <row r="708" spans="1:4" s="1" customFormat="1">
      <c r="A708" s="45">
        <v>708</v>
      </c>
      <c r="C708" s="2" t="s">
        <v>22</v>
      </c>
    </row>
    <row r="709" spans="1:4" s="1" customFormat="1">
      <c r="A709" s="45">
        <v>709</v>
      </c>
      <c r="C709" s="2" t="s">
        <v>23</v>
      </c>
    </row>
    <row r="710" spans="1:4" s="1" customFormat="1">
      <c r="A710" s="45">
        <v>710</v>
      </c>
      <c r="C710" s="2" t="s">
        <v>24</v>
      </c>
    </row>
    <row r="711" spans="1:4" s="1" customFormat="1">
      <c r="A711" s="45">
        <v>711</v>
      </c>
      <c r="C711" s="2" t="s">
        <v>196</v>
      </c>
    </row>
    <row r="712" spans="1:4" s="1" customFormat="1">
      <c r="A712" s="45">
        <v>712</v>
      </c>
      <c r="C712" s="2" t="s">
        <v>8</v>
      </c>
    </row>
    <row r="713" spans="1:4" s="1" customFormat="1">
      <c r="A713" s="45">
        <v>713</v>
      </c>
      <c r="C713" s="2" t="s">
        <v>8</v>
      </c>
    </row>
    <row r="714" spans="1:4" s="1" customFormat="1">
      <c r="A714" s="45">
        <v>714</v>
      </c>
      <c r="C714" s="2" t="s">
        <v>8</v>
      </c>
    </row>
    <row r="715" spans="1:4" s="1" customFormat="1" ht="14.25" thickBot="1">
      <c r="A715" s="45">
        <v>715</v>
      </c>
      <c r="B715" s="49"/>
      <c r="C715" s="50" t="s">
        <v>8</v>
      </c>
    </row>
    <row r="716" spans="1:4" s="1" customFormat="1">
      <c r="A716" s="45">
        <v>716</v>
      </c>
      <c r="C716" s="48" t="s">
        <v>15</v>
      </c>
      <c r="D716" s="1" t="s">
        <v>210</v>
      </c>
    </row>
    <row r="717" spans="1:4" s="1" customFormat="1">
      <c r="A717" s="45">
        <v>717</v>
      </c>
      <c r="C717" s="2" t="s">
        <v>16</v>
      </c>
    </row>
    <row r="718" spans="1:4" s="1" customFormat="1">
      <c r="A718" s="45">
        <v>718</v>
      </c>
      <c r="C718" s="2" t="s">
        <v>17</v>
      </c>
    </row>
    <row r="719" spans="1:4" s="1" customFormat="1">
      <c r="A719" s="45">
        <v>719</v>
      </c>
      <c r="C719" s="2" t="s">
        <v>18</v>
      </c>
    </row>
    <row r="720" spans="1:4" s="1" customFormat="1">
      <c r="A720" s="45">
        <v>720</v>
      </c>
      <c r="C720" s="2" t="s">
        <v>19</v>
      </c>
    </row>
    <row r="721" spans="1:4" s="1" customFormat="1">
      <c r="A721" s="45">
        <v>721</v>
      </c>
      <c r="C721" s="2" t="s">
        <v>20</v>
      </c>
    </row>
    <row r="722" spans="1:4" s="1" customFormat="1">
      <c r="A722" s="45">
        <v>722</v>
      </c>
      <c r="C722" s="2" t="s">
        <v>21</v>
      </c>
    </row>
    <row r="723" spans="1:4" s="1" customFormat="1">
      <c r="A723" s="45">
        <v>723</v>
      </c>
      <c r="C723" s="2" t="s">
        <v>22</v>
      </c>
    </row>
    <row r="724" spans="1:4" s="1" customFormat="1">
      <c r="A724" s="45">
        <v>724</v>
      </c>
      <c r="C724" s="2" t="s">
        <v>23</v>
      </c>
    </row>
    <row r="725" spans="1:4" s="1" customFormat="1">
      <c r="A725" s="45">
        <v>725</v>
      </c>
      <c r="C725" s="2" t="s">
        <v>24</v>
      </c>
    </row>
    <row r="726" spans="1:4" s="1" customFormat="1">
      <c r="A726" s="45">
        <v>726</v>
      </c>
      <c r="C726" s="2" t="s">
        <v>196</v>
      </c>
    </row>
    <row r="727" spans="1:4" s="1" customFormat="1">
      <c r="A727" s="45">
        <v>727</v>
      </c>
      <c r="C727" s="2" t="s">
        <v>8</v>
      </c>
    </row>
    <row r="728" spans="1:4" s="1" customFormat="1">
      <c r="A728" s="45">
        <v>728</v>
      </c>
      <c r="C728" s="2" t="s">
        <v>8</v>
      </c>
    </row>
    <row r="729" spans="1:4" s="1" customFormat="1">
      <c r="A729" s="45">
        <v>729</v>
      </c>
      <c r="C729" s="2" t="s">
        <v>8</v>
      </c>
    </row>
    <row r="730" spans="1:4" s="1" customFormat="1" ht="14.25" thickBot="1">
      <c r="A730" s="45">
        <v>730</v>
      </c>
      <c r="B730" s="49"/>
      <c r="C730" s="50" t="s">
        <v>8</v>
      </c>
    </row>
    <row r="731" spans="1:4" s="1" customFormat="1">
      <c r="A731" s="45">
        <v>731</v>
      </c>
      <c r="C731" s="48" t="s">
        <v>15</v>
      </c>
      <c r="D731" s="1" t="s">
        <v>211</v>
      </c>
    </row>
    <row r="732" spans="1:4" s="1" customFormat="1">
      <c r="A732" s="45">
        <v>732</v>
      </c>
      <c r="C732" s="2" t="s">
        <v>16</v>
      </c>
    </row>
    <row r="733" spans="1:4" s="1" customFormat="1">
      <c r="A733" s="45">
        <v>733</v>
      </c>
      <c r="C733" s="2" t="s">
        <v>17</v>
      </c>
    </row>
    <row r="734" spans="1:4" s="1" customFormat="1">
      <c r="A734" s="45">
        <v>734</v>
      </c>
      <c r="C734" s="2" t="s">
        <v>18</v>
      </c>
    </row>
    <row r="735" spans="1:4" s="1" customFormat="1">
      <c r="A735" s="45">
        <v>735</v>
      </c>
      <c r="C735" s="2" t="s">
        <v>19</v>
      </c>
    </row>
    <row r="736" spans="1:4" s="1" customFormat="1">
      <c r="A736" s="45">
        <v>736</v>
      </c>
      <c r="C736" s="2" t="s">
        <v>20</v>
      </c>
    </row>
    <row r="737" spans="1:3" s="1" customFormat="1">
      <c r="A737" s="45">
        <v>737</v>
      </c>
      <c r="C737" s="2" t="s">
        <v>21</v>
      </c>
    </row>
    <row r="738" spans="1:3" s="1" customFormat="1">
      <c r="A738" s="45">
        <v>738</v>
      </c>
      <c r="C738" s="2" t="s">
        <v>22</v>
      </c>
    </row>
    <row r="739" spans="1:3" s="1" customFormat="1">
      <c r="A739" s="45">
        <v>739</v>
      </c>
      <c r="C739" s="2" t="s">
        <v>23</v>
      </c>
    </row>
    <row r="740" spans="1:3" s="1" customFormat="1">
      <c r="A740" s="45">
        <v>740</v>
      </c>
      <c r="C740" s="2" t="s">
        <v>24</v>
      </c>
    </row>
    <row r="741" spans="1:3" s="1" customFormat="1">
      <c r="A741" s="45">
        <v>741</v>
      </c>
      <c r="C741" s="2" t="s">
        <v>196</v>
      </c>
    </row>
    <row r="742" spans="1:3" s="1" customFormat="1">
      <c r="A742" s="45">
        <v>742</v>
      </c>
      <c r="C742" s="2" t="s">
        <v>8</v>
      </c>
    </row>
    <row r="743" spans="1:3" s="1" customFormat="1">
      <c r="A743" s="45">
        <v>743</v>
      </c>
      <c r="C743" s="2" t="s">
        <v>8</v>
      </c>
    </row>
    <row r="744" spans="1:3" s="1" customFormat="1">
      <c r="A744" s="45">
        <v>744</v>
      </c>
      <c r="C744" s="2" t="s">
        <v>8</v>
      </c>
    </row>
    <row r="745" spans="1:3" s="1" customFormat="1" ht="14.25" thickBot="1">
      <c r="A745" s="45">
        <v>745</v>
      </c>
      <c r="B745" s="49"/>
      <c r="C745" s="50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J10" sqref="J10"/>
    </sheetView>
  </sheetViews>
  <sheetFormatPr defaultRowHeight="13.5"/>
  <sheetData>
    <row r="1" spans="1:1">
      <c r="A1" t="s">
        <v>495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B4566-3FFB-4EBE-8E8F-E31D2882B88C}">
  <sheetPr codeName="Sheet7"/>
  <dimension ref="A1:AA73"/>
  <sheetViews>
    <sheetView showGridLines="0" tabSelected="1" zoomScaleSheetLayoutView="100" workbookViewId="0">
      <selection activeCell="B3" sqref="B3"/>
    </sheetView>
  </sheetViews>
  <sheetFormatPr defaultColWidth="5" defaultRowHeight="22.5" customHeight="1"/>
  <cols>
    <col min="1" max="1" width="11.5" style="75" customWidth="1"/>
    <col min="2" max="2" width="14.875" style="75" customWidth="1"/>
    <col min="3" max="3" width="6.25" style="77" customWidth="1"/>
    <col min="4" max="4" width="5.25" style="77" bestFit="1" customWidth="1"/>
    <col min="5" max="5" width="8" style="77" customWidth="1"/>
    <col min="6" max="6" width="5.75" style="77" customWidth="1"/>
    <col min="7" max="7" width="6.375" style="77" customWidth="1"/>
    <col min="8" max="17" width="5.5" style="75" customWidth="1"/>
    <col min="18" max="18" width="6.25" style="75" customWidth="1"/>
    <col min="19" max="19" width="6.375" style="75" customWidth="1"/>
    <col min="20" max="20" width="6" style="75" customWidth="1"/>
    <col min="21" max="21" width="5.5" style="77" customWidth="1"/>
    <col min="22" max="22" width="9.75" style="75" customWidth="1"/>
    <col min="23" max="23" width="0.75" style="75" customWidth="1"/>
    <col min="24" max="24" width="3.625" style="75" customWidth="1"/>
    <col min="25" max="256" width="5" style="75"/>
    <col min="257" max="257" width="11.5" style="75" customWidth="1"/>
    <col min="258" max="258" width="12.875" style="75" customWidth="1"/>
    <col min="259" max="259" width="6.25" style="75" customWidth="1"/>
    <col min="260" max="260" width="4.625" style="75" bestFit="1" customWidth="1"/>
    <col min="261" max="261" width="4.625" style="75" customWidth="1"/>
    <col min="262" max="262" width="5.75" style="75" customWidth="1"/>
    <col min="263" max="263" width="6.375" style="75" customWidth="1"/>
    <col min="264" max="265" width="5.375" style="75" customWidth="1"/>
    <col min="266" max="267" width="5.5" style="75" customWidth="1"/>
    <col min="268" max="273" width="5.125" style="75" customWidth="1"/>
    <col min="274" max="274" width="6.25" style="75" customWidth="1"/>
    <col min="275" max="275" width="6.375" style="75" customWidth="1"/>
    <col min="276" max="276" width="6" style="75" customWidth="1"/>
    <col min="277" max="277" width="5.5" style="75" customWidth="1"/>
    <col min="278" max="278" width="8.625" style="75" customWidth="1"/>
    <col min="279" max="279" width="0.75" style="75" customWidth="1"/>
    <col min="280" max="280" width="3.625" style="75" customWidth="1"/>
    <col min="281" max="512" width="5" style="75"/>
    <col min="513" max="513" width="11.5" style="75" customWidth="1"/>
    <col min="514" max="514" width="12.875" style="75" customWidth="1"/>
    <col min="515" max="515" width="6.25" style="75" customWidth="1"/>
    <col min="516" max="516" width="4.625" style="75" bestFit="1" customWidth="1"/>
    <col min="517" max="517" width="4.625" style="75" customWidth="1"/>
    <col min="518" max="518" width="5.75" style="75" customWidth="1"/>
    <col min="519" max="519" width="6.375" style="75" customWidth="1"/>
    <col min="520" max="521" width="5.375" style="75" customWidth="1"/>
    <col min="522" max="523" width="5.5" style="75" customWidth="1"/>
    <col min="524" max="529" width="5.125" style="75" customWidth="1"/>
    <col min="530" max="530" width="6.25" style="75" customWidth="1"/>
    <col min="531" max="531" width="6.375" style="75" customWidth="1"/>
    <col min="532" max="532" width="6" style="75" customWidth="1"/>
    <col min="533" max="533" width="5.5" style="75" customWidth="1"/>
    <col min="534" max="534" width="8.625" style="75" customWidth="1"/>
    <col min="535" max="535" width="0.75" style="75" customWidth="1"/>
    <col min="536" max="536" width="3.625" style="75" customWidth="1"/>
    <col min="537" max="768" width="5" style="75"/>
    <col min="769" max="769" width="11.5" style="75" customWidth="1"/>
    <col min="770" max="770" width="12.875" style="75" customWidth="1"/>
    <col min="771" max="771" width="6.25" style="75" customWidth="1"/>
    <col min="772" max="772" width="4.625" style="75" bestFit="1" customWidth="1"/>
    <col min="773" max="773" width="4.625" style="75" customWidth="1"/>
    <col min="774" max="774" width="5.75" style="75" customWidth="1"/>
    <col min="775" max="775" width="6.375" style="75" customWidth="1"/>
    <col min="776" max="777" width="5.375" style="75" customWidth="1"/>
    <col min="778" max="779" width="5.5" style="75" customWidth="1"/>
    <col min="780" max="785" width="5.125" style="75" customWidth="1"/>
    <col min="786" max="786" width="6.25" style="75" customWidth="1"/>
    <col min="787" max="787" width="6.375" style="75" customWidth="1"/>
    <col min="788" max="788" width="6" style="75" customWidth="1"/>
    <col min="789" max="789" width="5.5" style="75" customWidth="1"/>
    <col min="790" max="790" width="8.625" style="75" customWidth="1"/>
    <col min="791" max="791" width="0.75" style="75" customWidth="1"/>
    <col min="792" max="792" width="3.625" style="75" customWidth="1"/>
    <col min="793" max="1024" width="5" style="75"/>
    <col min="1025" max="1025" width="11.5" style="75" customWidth="1"/>
    <col min="1026" max="1026" width="12.875" style="75" customWidth="1"/>
    <col min="1027" max="1027" width="6.25" style="75" customWidth="1"/>
    <col min="1028" max="1028" width="4.625" style="75" bestFit="1" customWidth="1"/>
    <col min="1029" max="1029" width="4.625" style="75" customWidth="1"/>
    <col min="1030" max="1030" width="5.75" style="75" customWidth="1"/>
    <col min="1031" max="1031" width="6.375" style="75" customWidth="1"/>
    <col min="1032" max="1033" width="5.375" style="75" customWidth="1"/>
    <col min="1034" max="1035" width="5.5" style="75" customWidth="1"/>
    <col min="1036" max="1041" width="5.125" style="75" customWidth="1"/>
    <col min="1042" max="1042" width="6.25" style="75" customWidth="1"/>
    <col min="1043" max="1043" width="6.375" style="75" customWidth="1"/>
    <col min="1044" max="1044" width="6" style="75" customWidth="1"/>
    <col min="1045" max="1045" width="5.5" style="75" customWidth="1"/>
    <col min="1046" max="1046" width="8.625" style="75" customWidth="1"/>
    <col min="1047" max="1047" width="0.75" style="75" customWidth="1"/>
    <col min="1048" max="1048" width="3.625" style="75" customWidth="1"/>
    <col min="1049" max="1280" width="5" style="75"/>
    <col min="1281" max="1281" width="11.5" style="75" customWidth="1"/>
    <col min="1282" max="1282" width="12.875" style="75" customWidth="1"/>
    <col min="1283" max="1283" width="6.25" style="75" customWidth="1"/>
    <col min="1284" max="1284" width="4.625" style="75" bestFit="1" customWidth="1"/>
    <col min="1285" max="1285" width="4.625" style="75" customWidth="1"/>
    <col min="1286" max="1286" width="5.75" style="75" customWidth="1"/>
    <col min="1287" max="1287" width="6.375" style="75" customWidth="1"/>
    <col min="1288" max="1289" width="5.375" style="75" customWidth="1"/>
    <col min="1290" max="1291" width="5.5" style="75" customWidth="1"/>
    <col min="1292" max="1297" width="5.125" style="75" customWidth="1"/>
    <col min="1298" max="1298" width="6.25" style="75" customWidth="1"/>
    <col min="1299" max="1299" width="6.375" style="75" customWidth="1"/>
    <col min="1300" max="1300" width="6" style="75" customWidth="1"/>
    <col min="1301" max="1301" width="5.5" style="75" customWidth="1"/>
    <col min="1302" max="1302" width="8.625" style="75" customWidth="1"/>
    <col min="1303" max="1303" width="0.75" style="75" customWidth="1"/>
    <col min="1304" max="1304" width="3.625" style="75" customWidth="1"/>
    <col min="1305" max="1536" width="5" style="75"/>
    <col min="1537" max="1537" width="11.5" style="75" customWidth="1"/>
    <col min="1538" max="1538" width="12.875" style="75" customWidth="1"/>
    <col min="1539" max="1539" width="6.25" style="75" customWidth="1"/>
    <col min="1540" max="1540" width="4.625" style="75" bestFit="1" customWidth="1"/>
    <col min="1541" max="1541" width="4.625" style="75" customWidth="1"/>
    <col min="1542" max="1542" width="5.75" style="75" customWidth="1"/>
    <col min="1543" max="1543" width="6.375" style="75" customWidth="1"/>
    <col min="1544" max="1545" width="5.375" style="75" customWidth="1"/>
    <col min="1546" max="1547" width="5.5" style="75" customWidth="1"/>
    <col min="1548" max="1553" width="5.125" style="75" customWidth="1"/>
    <col min="1554" max="1554" width="6.25" style="75" customWidth="1"/>
    <col min="1555" max="1555" width="6.375" style="75" customWidth="1"/>
    <col min="1556" max="1556" width="6" style="75" customWidth="1"/>
    <col min="1557" max="1557" width="5.5" style="75" customWidth="1"/>
    <col min="1558" max="1558" width="8.625" style="75" customWidth="1"/>
    <col min="1559" max="1559" width="0.75" style="75" customWidth="1"/>
    <col min="1560" max="1560" width="3.625" style="75" customWidth="1"/>
    <col min="1561" max="1792" width="5" style="75"/>
    <col min="1793" max="1793" width="11.5" style="75" customWidth="1"/>
    <col min="1794" max="1794" width="12.875" style="75" customWidth="1"/>
    <col min="1795" max="1795" width="6.25" style="75" customWidth="1"/>
    <col min="1796" max="1796" width="4.625" style="75" bestFit="1" customWidth="1"/>
    <col min="1797" max="1797" width="4.625" style="75" customWidth="1"/>
    <col min="1798" max="1798" width="5.75" style="75" customWidth="1"/>
    <col min="1799" max="1799" width="6.375" style="75" customWidth="1"/>
    <col min="1800" max="1801" width="5.375" style="75" customWidth="1"/>
    <col min="1802" max="1803" width="5.5" style="75" customWidth="1"/>
    <col min="1804" max="1809" width="5.125" style="75" customWidth="1"/>
    <col min="1810" max="1810" width="6.25" style="75" customWidth="1"/>
    <col min="1811" max="1811" width="6.375" style="75" customWidth="1"/>
    <col min="1812" max="1812" width="6" style="75" customWidth="1"/>
    <col min="1813" max="1813" width="5.5" style="75" customWidth="1"/>
    <col min="1814" max="1814" width="8.625" style="75" customWidth="1"/>
    <col min="1815" max="1815" width="0.75" style="75" customWidth="1"/>
    <col min="1816" max="1816" width="3.625" style="75" customWidth="1"/>
    <col min="1817" max="2048" width="5" style="75"/>
    <col min="2049" max="2049" width="11.5" style="75" customWidth="1"/>
    <col min="2050" max="2050" width="12.875" style="75" customWidth="1"/>
    <col min="2051" max="2051" width="6.25" style="75" customWidth="1"/>
    <col min="2052" max="2052" width="4.625" style="75" bestFit="1" customWidth="1"/>
    <col min="2053" max="2053" width="4.625" style="75" customWidth="1"/>
    <col min="2054" max="2054" width="5.75" style="75" customWidth="1"/>
    <col min="2055" max="2055" width="6.375" style="75" customWidth="1"/>
    <col min="2056" max="2057" width="5.375" style="75" customWidth="1"/>
    <col min="2058" max="2059" width="5.5" style="75" customWidth="1"/>
    <col min="2060" max="2065" width="5.125" style="75" customWidth="1"/>
    <col min="2066" max="2066" width="6.25" style="75" customWidth="1"/>
    <col min="2067" max="2067" width="6.375" style="75" customWidth="1"/>
    <col min="2068" max="2068" width="6" style="75" customWidth="1"/>
    <col min="2069" max="2069" width="5.5" style="75" customWidth="1"/>
    <col min="2070" max="2070" width="8.625" style="75" customWidth="1"/>
    <col min="2071" max="2071" width="0.75" style="75" customWidth="1"/>
    <col min="2072" max="2072" width="3.625" style="75" customWidth="1"/>
    <col min="2073" max="2304" width="5" style="75"/>
    <col min="2305" max="2305" width="11.5" style="75" customWidth="1"/>
    <col min="2306" max="2306" width="12.875" style="75" customWidth="1"/>
    <col min="2307" max="2307" width="6.25" style="75" customWidth="1"/>
    <col min="2308" max="2308" width="4.625" style="75" bestFit="1" customWidth="1"/>
    <col min="2309" max="2309" width="4.625" style="75" customWidth="1"/>
    <col min="2310" max="2310" width="5.75" style="75" customWidth="1"/>
    <col min="2311" max="2311" width="6.375" style="75" customWidth="1"/>
    <col min="2312" max="2313" width="5.375" style="75" customWidth="1"/>
    <col min="2314" max="2315" width="5.5" style="75" customWidth="1"/>
    <col min="2316" max="2321" width="5.125" style="75" customWidth="1"/>
    <col min="2322" max="2322" width="6.25" style="75" customWidth="1"/>
    <col min="2323" max="2323" width="6.375" style="75" customWidth="1"/>
    <col min="2324" max="2324" width="6" style="75" customWidth="1"/>
    <col min="2325" max="2325" width="5.5" style="75" customWidth="1"/>
    <col min="2326" max="2326" width="8.625" style="75" customWidth="1"/>
    <col min="2327" max="2327" width="0.75" style="75" customWidth="1"/>
    <col min="2328" max="2328" width="3.625" style="75" customWidth="1"/>
    <col min="2329" max="2560" width="5" style="75"/>
    <col min="2561" max="2561" width="11.5" style="75" customWidth="1"/>
    <col min="2562" max="2562" width="12.875" style="75" customWidth="1"/>
    <col min="2563" max="2563" width="6.25" style="75" customWidth="1"/>
    <col min="2564" max="2564" width="4.625" style="75" bestFit="1" customWidth="1"/>
    <col min="2565" max="2565" width="4.625" style="75" customWidth="1"/>
    <col min="2566" max="2566" width="5.75" style="75" customWidth="1"/>
    <col min="2567" max="2567" width="6.375" style="75" customWidth="1"/>
    <col min="2568" max="2569" width="5.375" style="75" customWidth="1"/>
    <col min="2570" max="2571" width="5.5" style="75" customWidth="1"/>
    <col min="2572" max="2577" width="5.125" style="75" customWidth="1"/>
    <col min="2578" max="2578" width="6.25" style="75" customWidth="1"/>
    <col min="2579" max="2579" width="6.375" style="75" customWidth="1"/>
    <col min="2580" max="2580" width="6" style="75" customWidth="1"/>
    <col min="2581" max="2581" width="5.5" style="75" customWidth="1"/>
    <col min="2582" max="2582" width="8.625" style="75" customWidth="1"/>
    <col min="2583" max="2583" width="0.75" style="75" customWidth="1"/>
    <col min="2584" max="2584" width="3.625" style="75" customWidth="1"/>
    <col min="2585" max="2816" width="5" style="75"/>
    <col min="2817" max="2817" width="11.5" style="75" customWidth="1"/>
    <col min="2818" max="2818" width="12.875" style="75" customWidth="1"/>
    <col min="2819" max="2819" width="6.25" style="75" customWidth="1"/>
    <col min="2820" max="2820" width="4.625" style="75" bestFit="1" customWidth="1"/>
    <col min="2821" max="2821" width="4.625" style="75" customWidth="1"/>
    <col min="2822" max="2822" width="5.75" style="75" customWidth="1"/>
    <col min="2823" max="2823" width="6.375" style="75" customWidth="1"/>
    <col min="2824" max="2825" width="5.375" style="75" customWidth="1"/>
    <col min="2826" max="2827" width="5.5" style="75" customWidth="1"/>
    <col min="2828" max="2833" width="5.125" style="75" customWidth="1"/>
    <col min="2834" max="2834" width="6.25" style="75" customWidth="1"/>
    <col min="2835" max="2835" width="6.375" style="75" customWidth="1"/>
    <col min="2836" max="2836" width="6" style="75" customWidth="1"/>
    <col min="2837" max="2837" width="5.5" style="75" customWidth="1"/>
    <col min="2838" max="2838" width="8.625" style="75" customWidth="1"/>
    <col min="2839" max="2839" width="0.75" style="75" customWidth="1"/>
    <col min="2840" max="2840" width="3.625" style="75" customWidth="1"/>
    <col min="2841" max="3072" width="5" style="75"/>
    <col min="3073" max="3073" width="11.5" style="75" customWidth="1"/>
    <col min="3074" max="3074" width="12.875" style="75" customWidth="1"/>
    <col min="3075" max="3075" width="6.25" style="75" customWidth="1"/>
    <col min="3076" max="3076" width="4.625" style="75" bestFit="1" customWidth="1"/>
    <col min="3077" max="3077" width="4.625" style="75" customWidth="1"/>
    <col min="3078" max="3078" width="5.75" style="75" customWidth="1"/>
    <col min="3079" max="3079" width="6.375" style="75" customWidth="1"/>
    <col min="3080" max="3081" width="5.375" style="75" customWidth="1"/>
    <col min="3082" max="3083" width="5.5" style="75" customWidth="1"/>
    <col min="3084" max="3089" width="5.125" style="75" customWidth="1"/>
    <col min="3090" max="3090" width="6.25" style="75" customWidth="1"/>
    <col min="3091" max="3091" width="6.375" style="75" customWidth="1"/>
    <col min="3092" max="3092" width="6" style="75" customWidth="1"/>
    <col min="3093" max="3093" width="5.5" style="75" customWidth="1"/>
    <col min="3094" max="3094" width="8.625" style="75" customWidth="1"/>
    <col min="3095" max="3095" width="0.75" style="75" customWidth="1"/>
    <col min="3096" max="3096" width="3.625" style="75" customWidth="1"/>
    <col min="3097" max="3328" width="5" style="75"/>
    <col min="3329" max="3329" width="11.5" style="75" customWidth="1"/>
    <col min="3330" max="3330" width="12.875" style="75" customWidth="1"/>
    <col min="3331" max="3331" width="6.25" style="75" customWidth="1"/>
    <col min="3332" max="3332" width="4.625" style="75" bestFit="1" customWidth="1"/>
    <col min="3333" max="3333" width="4.625" style="75" customWidth="1"/>
    <col min="3334" max="3334" width="5.75" style="75" customWidth="1"/>
    <col min="3335" max="3335" width="6.375" style="75" customWidth="1"/>
    <col min="3336" max="3337" width="5.375" style="75" customWidth="1"/>
    <col min="3338" max="3339" width="5.5" style="75" customWidth="1"/>
    <col min="3340" max="3345" width="5.125" style="75" customWidth="1"/>
    <col min="3346" max="3346" width="6.25" style="75" customWidth="1"/>
    <col min="3347" max="3347" width="6.375" style="75" customWidth="1"/>
    <col min="3348" max="3348" width="6" style="75" customWidth="1"/>
    <col min="3349" max="3349" width="5.5" style="75" customWidth="1"/>
    <col min="3350" max="3350" width="8.625" style="75" customWidth="1"/>
    <col min="3351" max="3351" width="0.75" style="75" customWidth="1"/>
    <col min="3352" max="3352" width="3.625" style="75" customWidth="1"/>
    <col min="3353" max="3584" width="5" style="75"/>
    <col min="3585" max="3585" width="11.5" style="75" customWidth="1"/>
    <col min="3586" max="3586" width="12.875" style="75" customWidth="1"/>
    <col min="3587" max="3587" width="6.25" style="75" customWidth="1"/>
    <col min="3588" max="3588" width="4.625" style="75" bestFit="1" customWidth="1"/>
    <col min="3589" max="3589" width="4.625" style="75" customWidth="1"/>
    <col min="3590" max="3590" width="5.75" style="75" customWidth="1"/>
    <col min="3591" max="3591" width="6.375" style="75" customWidth="1"/>
    <col min="3592" max="3593" width="5.375" style="75" customWidth="1"/>
    <col min="3594" max="3595" width="5.5" style="75" customWidth="1"/>
    <col min="3596" max="3601" width="5.125" style="75" customWidth="1"/>
    <col min="3602" max="3602" width="6.25" style="75" customWidth="1"/>
    <col min="3603" max="3603" width="6.375" style="75" customWidth="1"/>
    <col min="3604" max="3604" width="6" style="75" customWidth="1"/>
    <col min="3605" max="3605" width="5.5" style="75" customWidth="1"/>
    <col min="3606" max="3606" width="8.625" style="75" customWidth="1"/>
    <col min="3607" max="3607" width="0.75" style="75" customWidth="1"/>
    <col min="3608" max="3608" width="3.625" style="75" customWidth="1"/>
    <col min="3609" max="3840" width="5" style="75"/>
    <col min="3841" max="3841" width="11.5" style="75" customWidth="1"/>
    <col min="3842" max="3842" width="12.875" style="75" customWidth="1"/>
    <col min="3843" max="3843" width="6.25" style="75" customWidth="1"/>
    <col min="3844" max="3844" width="4.625" style="75" bestFit="1" customWidth="1"/>
    <col min="3845" max="3845" width="4.625" style="75" customWidth="1"/>
    <col min="3846" max="3846" width="5.75" style="75" customWidth="1"/>
    <col min="3847" max="3847" width="6.375" style="75" customWidth="1"/>
    <col min="3848" max="3849" width="5.375" style="75" customWidth="1"/>
    <col min="3850" max="3851" width="5.5" style="75" customWidth="1"/>
    <col min="3852" max="3857" width="5.125" style="75" customWidth="1"/>
    <col min="3858" max="3858" width="6.25" style="75" customWidth="1"/>
    <col min="3859" max="3859" width="6.375" style="75" customWidth="1"/>
    <col min="3860" max="3860" width="6" style="75" customWidth="1"/>
    <col min="3861" max="3861" width="5.5" style="75" customWidth="1"/>
    <col min="3862" max="3862" width="8.625" style="75" customWidth="1"/>
    <col min="3863" max="3863" width="0.75" style="75" customWidth="1"/>
    <col min="3864" max="3864" width="3.625" style="75" customWidth="1"/>
    <col min="3865" max="4096" width="5" style="75"/>
    <col min="4097" max="4097" width="11.5" style="75" customWidth="1"/>
    <col min="4098" max="4098" width="12.875" style="75" customWidth="1"/>
    <col min="4099" max="4099" width="6.25" style="75" customWidth="1"/>
    <col min="4100" max="4100" width="4.625" style="75" bestFit="1" customWidth="1"/>
    <col min="4101" max="4101" width="4.625" style="75" customWidth="1"/>
    <col min="4102" max="4102" width="5.75" style="75" customWidth="1"/>
    <col min="4103" max="4103" width="6.375" style="75" customWidth="1"/>
    <col min="4104" max="4105" width="5.375" style="75" customWidth="1"/>
    <col min="4106" max="4107" width="5.5" style="75" customWidth="1"/>
    <col min="4108" max="4113" width="5.125" style="75" customWidth="1"/>
    <col min="4114" max="4114" width="6.25" style="75" customWidth="1"/>
    <col min="4115" max="4115" width="6.375" style="75" customWidth="1"/>
    <col min="4116" max="4116" width="6" style="75" customWidth="1"/>
    <col min="4117" max="4117" width="5.5" style="75" customWidth="1"/>
    <col min="4118" max="4118" width="8.625" style="75" customWidth="1"/>
    <col min="4119" max="4119" width="0.75" style="75" customWidth="1"/>
    <col min="4120" max="4120" width="3.625" style="75" customWidth="1"/>
    <col min="4121" max="4352" width="5" style="75"/>
    <col min="4353" max="4353" width="11.5" style="75" customWidth="1"/>
    <col min="4354" max="4354" width="12.875" style="75" customWidth="1"/>
    <col min="4355" max="4355" width="6.25" style="75" customWidth="1"/>
    <col min="4356" max="4356" width="4.625" style="75" bestFit="1" customWidth="1"/>
    <col min="4357" max="4357" width="4.625" style="75" customWidth="1"/>
    <col min="4358" max="4358" width="5.75" style="75" customWidth="1"/>
    <col min="4359" max="4359" width="6.375" style="75" customWidth="1"/>
    <col min="4360" max="4361" width="5.375" style="75" customWidth="1"/>
    <col min="4362" max="4363" width="5.5" style="75" customWidth="1"/>
    <col min="4364" max="4369" width="5.125" style="75" customWidth="1"/>
    <col min="4370" max="4370" width="6.25" style="75" customWidth="1"/>
    <col min="4371" max="4371" width="6.375" style="75" customWidth="1"/>
    <col min="4372" max="4372" width="6" style="75" customWidth="1"/>
    <col min="4373" max="4373" width="5.5" style="75" customWidth="1"/>
    <col min="4374" max="4374" width="8.625" style="75" customWidth="1"/>
    <col min="4375" max="4375" width="0.75" style="75" customWidth="1"/>
    <col min="4376" max="4376" width="3.625" style="75" customWidth="1"/>
    <col min="4377" max="4608" width="5" style="75"/>
    <col min="4609" max="4609" width="11.5" style="75" customWidth="1"/>
    <col min="4610" max="4610" width="12.875" style="75" customWidth="1"/>
    <col min="4611" max="4611" width="6.25" style="75" customWidth="1"/>
    <col min="4612" max="4612" width="4.625" style="75" bestFit="1" customWidth="1"/>
    <col min="4613" max="4613" width="4.625" style="75" customWidth="1"/>
    <col min="4614" max="4614" width="5.75" style="75" customWidth="1"/>
    <col min="4615" max="4615" width="6.375" style="75" customWidth="1"/>
    <col min="4616" max="4617" width="5.375" style="75" customWidth="1"/>
    <col min="4618" max="4619" width="5.5" style="75" customWidth="1"/>
    <col min="4620" max="4625" width="5.125" style="75" customWidth="1"/>
    <col min="4626" max="4626" width="6.25" style="75" customWidth="1"/>
    <col min="4627" max="4627" width="6.375" style="75" customWidth="1"/>
    <col min="4628" max="4628" width="6" style="75" customWidth="1"/>
    <col min="4629" max="4629" width="5.5" style="75" customWidth="1"/>
    <col min="4630" max="4630" width="8.625" style="75" customWidth="1"/>
    <col min="4631" max="4631" width="0.75" style="75" customWidth="1"/>
    <col min="4632" max="4632" width="3.625" style="75" customWidth="1"/>
    <col min="4633" max="4864" width="5" style="75"/>
    <col min="4865" max="4865" width="11.5" style="75" customWidth="1"/>
    <col min="4866" max="4866" width="12.875" style="75" customWidth="1"/>
    <col min="4867" max="4867" width="6.25" style="75" customWidth="1"/>
    <col min="4868" max="4868" width="4.625" style="75" bestFit="1" customWidth="1"/>
    <col min="4869" max="4869" width="4.625" style="75" customWidth="1"/>
    <col min="4870" max="4870" width="5.75" style="75" customWidth="1"/>
    <col min="4871" max="4871" width="6.375" style="75" customWidth="1"/>
    <col min="4872" max="4873" width="5.375" style="75" customWidth="1"/>
    <col min="4874" max="4875" width="5.5" style="75" customWidth="1"/>
    <col min="4876" max="4881" width="5.125" style="75" customWidth="1"/>
    <col min="4882" max="4882" width="6.25" style="75" customWidth="1"/>
    <col min="4883" max="4883" width="6.375" style="75" customWidth="1"/>
    <col min="4884" max="4884" width="6" style="75" customWidth="1"/>
    <col min="4885" max="4885" width="5.5" style="75" customWidth="1"/>
    <col min="4886" max="4886" width="8.625" style="75" customWidth="1"/>
    <col min="4887" max="4887" width="0.75" style="75" customWidth="1"/>
    <col min="4888" max="4888" width="3.625" style="75" customWidth="1"/>
    <col min="4889" max="5120" width="5" style="75"/>
    <col min="5121" max="5121" width="11.5" style="75" customWidth="1"/>
    <col min="5122" max="5122" width="12.875" style="75" customWidth="1"/>
    <col min="5123" max="5123" width="6.25" style="75" customWidth="1"/>
    <col min="5124" max="5124" width="4.625" style="75" bestFit="1" customWidth="1"/>
    <col min="5125" max="5125" width="4.625" style="75" customWidth="1"/>
    <col min="5126" max="5126" width="5.75" style="75" customWidth="1"/>
    <col min="5127" max="5127" width="6.375" style="75" customWidth="1"/>
    <col min="5128" max="5129" width="5.375" style="75" customWidth="1"/>
    <col min="5130" max="5131" width="5.5" style="75" customWidth="1"/>
    <col min="5132" max="5137" width="5.125" style="75" customWidth="1"/>
    <col min="5138" max="5138" width="6.25" style="75" customWidth="1"/>
    <col min="5139" max="5139" width="6.375" style="75" customWidth="1"/>
    <col min="5140" max="5140" width="6" style="75" customWidth="1"/>
    <col min="5141" max="5141" width="5.5" style="75" customWidth="1"/>
    <col min="5142" max="5142" width="8.625" style="75" customWidth="1"/>
    <col min="5143" max="5143" width="0.75" style="75" customWidth="1"/>
    <col min="5144" max="5144" width="3.625" style="75" customWidth="1"/>
    <col min="5145" max="5376" width="5" style="75"/>
    <col min="5377" max="5377" width="11.5" style="75" customWidth="1"/>
    <col min="5378" max="5378" width="12.875" style="75" customWidth="1"/>
    <col min="5379" max="5379" width="6.25" style="75" customWidth="1"/>
    <col min="5380" max="5380" width="4.625" style="75" bestFit="1" customWidth="1"/>
    <col min="5381" max="5381" width="4.625" style="75" customWidth="1"/>
    <col min="5382" max="5382" width="5.75" style="75" customWidth="1"/>
    <col min="5383" max="5383" width="6.375" style="75" customWidth="1"/>
    <col min="5384" max="5385" width="5.375" style="75" customWidth="1"/>
    <col min="5386" max="5387" width="5.5" style="75" customWidth="1"/>
    <col min="5388" max="5393" width="5.125" style="75" customWidth="1"/>
    <col min="5394" max="5394" width="6.25" style="75" customWidth="1"/>
    <col min="5395" max="5395" width="6.375" style="75" customWidth="1"/>
    <col min="5396" max="5396" width="6" style="75" customWidth="1"/>
    <col min="5397" max="5397" width="5.5" style="75" customWidth="1"/>
    <col min="5398" max="5398" width="8.625" style="75" customWidth="1"/>
    <col min="5399" max="5399" width="0.75" style="75" customWidth="1"/>
    <col min="5400" max="5400" width="3.625" style="75" customWidth="1"/>
    <col min="5401" max="5632" width="5" style="75"/>
    <col min="5633" max="5633" width="11.5" style="75" customWidth="1"/>
    <col min="5634" max="5634" width="12.875" style="75" customWidth="1"/>
    <col min="5635" max="5635" width="6.25" style="75" customWidth="1"/>
    <col min="5636" max="5636" width="4.625" style="75" bestFit="1" customWidth="1"/>
    <col min="5637" max="5637" width="4.625" style="75" customWidth="1"/>
    <col min="5638" max="5638" width="5.75" style="75" customWidth="1"/>
    <col min="5639" max="5639" width="6.375" style="75" customWidth="1"/>
    <col min="5640" max="5641" width="5.375" style="75" customWidth="1"/>
    <col min="5642" max="5643" width="5.5" style="75" customWidth="1"/>
    <col min="5644" max="5649" width="5.125" style="75" customWidth="1"/>
    <col min="5650" max="5650" width="6.25" style="75" customWidth="1"/>
    <col min="5651" max="5651" width="6.375" style="75" customWidth="1"/>
    <col min="5652" max="5652" width="6" style="75" customWidth="1"/>
    <col min="5653" max="5653" width="5.5" style="75" customWidth="1"/>
    <col min="5654" max="5654" width="8.625" style="75" customWidth="1"/>
    <col min="5655" max="5655" width="0.75" style="75" customWidth="1"/>
    <col min="5656" max="5656" width="3.625" style="75" customWidth="1"/>
    <col min="5657" max="5888" width="5" style="75"/>
    <col min="5889" max="5889" width="11.5" style="75" customWidth="1"/>
    <col min="5890" max="5890" width="12.875" style="75" customWidth="1"/>
    <col min="5891" max="5891" width="6.25" style="75" customWidth="1"/>
    <col min="5892" max="5892" width="4.625" style="75" bestFit="1" customWidth="1"/>
    <col min="5893" max="5893" width="4.625" style="75" customWidth="1"/>
    <col min="5894" max="5894" width="5.75" style="75" customWidth="1"/>
    <col min="5895" max="5895" width="6.375" style="75" customWidth="1"/>
    <col min="5896" max="5897" width="5.375" style="75" customWidth="1"/>
    <col min="5898" max="5899" width="5.5" style="75" customWidth="1"/>
    <col min="5900" max="5905" width="5.125" style="75" customWidth="1"/>
    <col min="5906" max="5906" width="6.25" style="75" customWidth="1"/>
    <col min="5907" max="5907" width="6.375" style="75" customWidth="1"/>
    <col min="5908" max="5908" width="6" style="75" customWidth="1"/>
    <col min="5909" max="5909" width="5.5" style="75" customWidth="1"/>
    <col min="5910" max="5910" width="8.625" style="75" customWidth="1"/>
    <col min="5911" max="5911" width="0.75" style="75" customWidth="1"/>
    <col min="5912" max="5912" width="3.625" style="75" customWidth="1"/>
    <col min="5913" max="6144" width="5" style="75"/>
    <col min="6145" max="6145" width="11.5" style="75" customWidth="1"/>
    <col min="6146" max="6146" width="12.875" style="75" customWidth="1"/>
    <col min="6147" max="6147" width="6.25" style="75" customWidth="1"/>
    <col min="6148" max="6148" width="4.625" style="75" bestFit="1" customWidth="1"/>
    <col min="6149" max="6149" width="4.625" style="75" customWidth="1"/>
    <col min="6150" max="6150" width="5.75" style="75" customWidth="1"/>
    <col min="6151" max="6151" width="6.375" style="75" customWidth="1"/>
    <col min="6152" max="6153" width="5.375" style="75" customWidth="1"/>
    <col min="6154" max="6155" width="5.5" style="75" customWidth="1"/>
    <col min="6156" max="6161" width="5.125" style="75" customWidth="1"/>
    <col min="6162" max="6162" width="6.25" style="75" customWidth="1"/>
    <col min="6163" max="6163" width="6.375" style="75" customWidth="1"/>
    <col min="6164" max="6164" width="6" style="75" customWidth="1"/>
    <col min="6165" max="6165" width="5.5" style="75" customWidth="1"/>
    <col min="6166" max="6166" width="8.625" style="75" customWidth="1"/>
    <col min="6167" max="6167" width="0.75" style="75" customWidth="1"/>
    <col min="6168" max="6168" width="3.625" style="75" customWidth="1"/>
    <col min="6169" max="6400" width="5" style="75"/>
    <col min="6401" max="6401" width="11.5" style="75" customWidth="1"/>
    <col min="6402" max="6402" width="12.875" style="75" customWidth="1"/>
    <col min="6403" max="6403" width="6.25" style="75" customWidth="1"/>
    <col min="6404" max="6404" width="4.625" style="75" bestFit="1" customWidth="1"/>
    <col min="6405" max="6405" width="4.625" style="75" customWidth="1"/>
    <col min="6406" max="6406" width="5.75" style="75" customWidth="1"/>
    <col min="6407" max="6407" width="6.375" style="75" customWidth="1"/>
    <col min="6408" max="6409" width="5.375" style="75" customWidth="1"/>
    <col min="6410" max="6411" width="5.5" style="75" customWidth="1"/>
    <col min="6412" max="6417" width="5.125" style="75" customWidth="1"/>
    <col min="6418" max="6418" width="6.25" style="75" customWidth="1"/>
    <col min="6419" max="6419" width="6.375" style="75" customWidth="1"/>
    <col min="6420" max="6420" width="6" style="75" customWidth="1"/>
    <col min="6421" max="6421" width="5.5" style="75" customWidth="1"/>
    <col min="6422" max="6422" width="8.625" style="75" customWidth="1"/>
    <col min="6423" max="6423" width="0.75" style="75" customWidth="1"/>
    <col min="6424" max="6424" width="3.625" style="75" customWidth="1"/>
    <col min="6425" max="6656" width="5" style="75"/>
    <col min="6657" max="6657" width="11.5" style="75" customWidth="1"/>
    <col min="6658" max="6658" width="12.875" style="75" customWidth="1"/>
    <col min="6659" max="6659" width="6.25" style="75" customWidth="1"/>
    <col min="6660" max="6660" width="4.625" style="75" bestFit="1" customWidth="1"/>
    <col min="6661" max="6661" width="4.625" style="75" customWidth="1"/>
    <col min="6662" max="6662" width="5.75" style="75" customWidth="1"/>
    <col min="6663" max="6663" width="6.375" style="75" customWidth="1"/>
    <col min="6664" max="6665" width="5.375" style="75" customWidth="1"/>
    <col min="6666" max="6667" width="5.5" style="75" customWidth="1"/>
    <col min="6668" max="6673" width="5.125" style="75" customWidth="1"/>
    <col min="6674" max="6674" width="6.25" style="75" customWidth="1"/>
    <col min="6675" max="6675" width="6.375" style="75" customWidth="1"/>
    <col min="6676" max="6676" width="6" style="75" customWidth="1"/>
    <col min="6677" max="6677" width="5.5" style="75" customWidth="1"/>
    <col min="6678" max="6678" width="8.625" style="75" customWidth="1"/>
    <col min="6679" max="6679" width="0.75" style="75" customWidth="1"/>
    <col min="6680" max="6680" width="3.625" style="75" customWidth="1"/>
    <col min="6681" max="6912" width="5" style="75"/>
    <col min="6913" max="6913" width="11.5" style="75" customWidth="1"/>
    <col min="6914" max="6914" width="12.875" style="75" customWidth="1"/>
    <col min="6915" max="6915" width="6.25" style="75" customWidth="1"/>
    <col min="6916" max="6916" width="4.625" style="75" bestFit="1" customWidth="1"/>
    <col min="6917" max="6917" width="4.625" style="75" customWidth="1"/>
    <col min="6918" max="6918" width="5.75" style="75" customWidth="1"/>
    <col min="6919" max="6919" width="6.375" style="75" customWidth="1"/>
    <col min="6920" max="6921" width="5.375" style="75" customWidth="1"/>
    <col min="6922" max="6923" width="5.5" style="75" customWidth="1"/>
    <col min="6924" max="6929" width="5.125" style="75" customWidth="1"/>
    <col min="6930" max="6930" width="6.25" style="75" customWidth="1"/>
    <col min="6931" max="6931" width="6.375" style="75" customWidth="1"/>
    <col min="6932" max="6932" width="6" style="75" customWidth="1"/>
    <col min="6933" max="6933" width="5.5" style="75" customWidth="1"/>
    <col min="6934" max="6934" width="8.625" style="75" customWidth="1"/>
    <col min="6935" max="6935" width="0.75" style="75" customWidth="1"/>
    <col min="6936" max="6936" width="3.625" style="75" customWidth="1"/>
    <col min="6937" max="7168" width="5" style="75"/>
    <col min="7169" max="7169" width="11.5" style="75" customWidth="1"/>
    <col min="7170" max="7170" width="12.875" style="75" customWidth="1"/>
    <col min="7171" max="7171" width="6.25" style="75" customWidth="1"/>
    <col min="7172" max="7172" width="4.625" style="75" bestFit="1" customWidth="1"/>
    <col min="7173" max="7173" width="4.625" style="75" customWidth="1"/>
    <col min="7174" max="7174" width="5.75" style="75" customWidth="1"/>
    <col min="7175" max="7175" width="6.375" style="75" customWidth="1"/>
    <col min="7176" max="7177" width="5.375" style="75" customWidth="1"/>
    <col min="7178" max="7179" width="5.5" style="75" customWidth="1"/>
    <col min="7180" max="7185" width="5.125" style="75" customWidth="1"/>
    <col min="7186" max="7186" width="6.25" style="75" customWidth="1"/>
    <col min="7187" max="7187" width="6.375" style="75" customWidth="1"/>
    <col min="7188" max="7188" width="6" style="75" customWidth="1"/>
    <col min="7189" max="7189" width="5.5" style="75" customWidth="1"/>
    <col min="7190" max="7190" width="8.625" style="75" customWidth="1"/>
    <col min="7191" max="7191" width="0.75" style="75" customWidth="1"/>
    <col min="7192" max="7192" width="3.625" style="75" customWidth="1"/>
    <col min="7193" max="7424" width="5" style="75"/>
    <col min="7425" max="7425" width="11.5" style="75" customWidth="1"/>
    <col min="7426" max="7426" width="12.875" style="75" customWidth="1"/>
    <col min="7427" max="7427" width="6.25" style="75" customWidth="1"/>
    <col min="7428" max="7428" width="4.625" style="75" bestFit="1" customWidth="1"/>
    <col min="7429" max="7429" width="4.625" style="75" customWidth="1"/>
    <col min="7430" max="7430" width="5.75" style="75" customWidth="1"/>
    <col min="7431" max="7431" width="6.375" style="75" customWidth="1"/>
    <col min="7432" max="7433" width="5.375" style="75" customWidth="1"/>
    <col min="7434" max="7435" width="5.5" style="75" customWidth="1"/>
    <col min="7436" max="7441" width="5.125" style="75" customWidth="1"/>
    <col min="7442" max="7442" width="6.25" style="75" customWidth="1"/>
    <col min="7443" max="7443" width="6.375" style="75" customWidth="1"/>
    <col min="7444" max="7444" width="6" style="75" customWidth="1"/>
    <col min="7445" max="7445" width="5.5" style="75" customWidth="1"/>
    <col min="7446" max="7446" width="8.625" style="75" customWidth="1"/>
    <col min="7447" max="7447" width="0.75" style="75" customWidth="1"/>
    <col min="7448" max="7448" width="3.625" style="75" customWidth="1"/>
    <col min="7449" max="7680" width="5" style="75"/>
    <col min="7681" max="7681" width="11.5" style="75" customWidth="1"/>
    <col min="7682" max="7682" width="12.875" style="75" customWidth="1"/>
    <col min="7683" max="7683" width="6.25" style="75" customWidth="1"/>
    <col min="7684" max="7684" width="4.625" style="75" bestFit="1" customWidth="1"/>
    <col min="7685" max="7685" width="4.625" style="75" customWidth="1"/>
    <col min="7686" max="7686" width="5.75" style="75" customWidth="1"/>
    <col min="7687" max="7687" width="6.375" style="75" customWidth="1"/>
    <col min="7688" max="7689" width="5.375" style="75" customWidth="1"/>
    <col min="7690" max="7691" width="5.5" style="75" customWidth="1"/>
    <col min="7692" max="7697" width="5.125" style="75" customWidth="1"/>
    <col min="7698" max="7698" width="6.25" style="75" customWidth="1"/>
    <col min="7699" max="7699" width="6.375" style="75" customWidth="1"/>
    <col min="7700" max="7700" width="6" style="75" customWidth="1"/>
    <col min="7701" max="7701" width="5.5" style="75" customWidth="1"/>
    <col min="7702" max="7702" width="8.625" style="75" customWidth="1"/>
    <col min="7703" max="7703" width="0.75" style="75" customWidth="1"/>
    <col min="7704" max="7704" width="3.625" style="75" customWidth="1"/>
    <col min="7705" max="7936" width="5" style="75"/>
    <col min="7937" max="7937" width="11.5" style="75" customWidth="1"/>
    <col min="7938" max="7938" width="12.875" style="75" customWidth="1"/>
    <col min="7939" max="7939" width="6.25" style="75" customWidth="1"/>
    <col min="7940" max="7940" width="4.625" style="75" bestFit="1" customWidth="1"/>
    <col min="7941" max="7941" width="4.625" style="75" customWidth="1"/>
    <col min="7942" max="7942" width="5.75" style="75" customWidth="1"/>
    <col min="7943" max="7943" width="6.375" style="75" customWidth="1"/>
    <col min="7944" max="7945" width="5.375" style="75" customWidth="1"/>
    <col min="7946" max="7947" width="5.5" style="75" customWidth="1"/>
    <col min="7948" max="7953" width="5.125" style="75" customWidth="1"/>
    <col min="7954" max="7954" width="6.25" style="75" customWidth="1"/>
    <col min="7955" max="7955" width="6.375" style="75" customWidth="1"/>
    <col min="7956" max="7956" width="6" style="75" customWidth="1"/>
    <col min="7957" max="7957" width="5.5" style="75" customWidth="1"/>
    <col min="7958" max="7958" width="8.625" style="75" customWidth="1"/>
    <col min="7959" max="7959" width="0.75" style="75" customWidth="1"/>
    <col min="7960" max="7960" width="3.625" style="75" customWidth="1"/>
    <col min="7961" max="8192" width="5" style="75"/>
    <col min="8193" max="8193" width="11.5" style="75" customWidth="1"/>
    <col min="8194" max="8194" width="12.875" style="75" customWidth="1"/>
    <col min="8195" max="8195" width="6.25" style="75" customWidth="1"/>
    <col min="8196" max="8196" width="4.625" style="75" bestFit="1" customWidth="1"/>
    <col min="8197" max="8197" width="4.625" style="75" customWidth="1"/>
    <col min="8198" max="8198" width="5.75" style="75" customWidth="1"/>
    <col min="8199" max="8199" width="6.375" style="75" customWidth="1"/>
    <col min="8200" max="8201" width="5.375" style="75" customWidth="1"/>
    <col min="8202" max="8203" width="5.5" style="75" customWidth="1"/>
    <col min="8204" max="8209" width="5.125" style="75" customWidth="1"/>
    <col min="8210" max="8210" width="6.25" style="75" customWidth="1"/>
    <col min="8211" max="8211" width="6.375" style="75" customWidth="1"/>
    <col min="8212" max="8212" width="6" style="75" customWidth="1"/>
    <col min="8213" max="8213" width="5.5" style="75" customWidth="1"/>
    <col min="8214" max="8214" width="8.625" style="75" customWidth="1"/>
    <col min="8215" max="8215" width="0.75" style="75" customWidth="1"/>
    <col min="8216" max="8216" width="3.625" style="75" customWidth="1"/>
    <col min="8217" max="8448" width="5" style="75"/>
    <col min="8449" max="8449" width="11.5" style="75" customWidth="1"/>
    <col min="8450" max="8450" width="12.875" style="75" customWidth="1"/>
    <col min="8451" max="8451" width="6.25" style="75" customWidth="1"/>
    <col min="8452" max="8452" width="4.625" style="75" bestFit="1" customWidth="1"/>
    <col min="8453" max="8453" width="4.625" style="75" customWidth="1"/>
    <col min="8454" max="8454" width="5.75" style="75" customWidth="1"/>
    <col min="8455" max="8455" width="6.375" style="75" customWidth="1"/>
    <col min="8456" max="8457" width="5.375" style="75" customWidth="1"/>
    <col min="8458" max="8459" width="5.5" style="75" customWidth="1"/>
    <col min="8460" max="8465" width="5.125" style="75" customWidth="1"/>
    <col min="8466" max="8466" width="6.25" style="75" customWidth="1"/>
    <col min="8467" max="8467" width="6.375" style="75" customWidth="1"/>
    <col min="8468" max="8468" width="6" style="75" customWidth="1"/>
    <col min="8469" max="8469" width="5.5" style="75" customWidth="1"/>
    <col min="8470" max="8470" width="8.625" style="75" customWidth="1"/>
    <col min="8471" max="8471" width="0.75" style="75" customWidth="1"/>
    <col min="8472" max="8472" width="3.625" style="75" customWidth="1"/>
    <col min="8473" max="8704" width="5" style="75"/>
    <col min="8705" max="8705" width="11.5" style="75" customWidth="1"/>
    <col min="8706" max="8706" width="12.875" style="75" customWidth="1"/>
    <col min="8707" max="8707" width="6.25" style="75" customWidth="1"/>
    <col min="8708" max="8708" width="4.625" style="75" bestFit="1" customWidth="1"/>
    <col min="8709" max="8709" width="4.625" style="75" customWidth="1"/>
    <col min="8710" max="8710" width="5.75" style="75" customWidth="1"/>
    <col min="8711" max="8711" width="6.375" style="75" customWidth="1"/>
    <col min="8712" max="8713" width="5.375" style="75" customWidth="1"/>
    <col min="8714" max="8715" width="5.5" style="75" customWidth="1"/>
    <col min="8716" max="8721" width="5.125" style="75" customWidth="1"/>
    <col min="8722" max="8722" width="6.25" style="75" customWidth="1"/>
    <col min="8723" max="8723" width="6.375" style="75" customWidth="1"/>
    <col min="8724" max="8724" width="6" style="75" customWidth="1"/>
    <col min="8725" max="8725" width="5.5" style="75" customWidth="1"/>
    <col min="8726" max="8726" width="8.625" style="75" customWidth="1"/>
    <col min="8727" max="8727" width="0.75" style="75" customWidth="1"/>
    <col min="8728" max="8728" width="3.625" style="75" customWidth="1"/>
    <col min="8729" max="8960" width="5" style="75"/>
    <col min="8961" max="8961" width="11.5" style="75" customWidth="1"/>
    <col min="8962" max="8962" width="12.875" style="75" customWidth="1"/>
    <col min="8963" max="8963" width="6.25" style="75" customWidth="1"/>
    <col min="8964" max="8964" width="4.625" style="75" bestFit="1" customWidth="1"/>
    <col min="8965" max="8965" width="4.625" style="75" customWidth="1"/>
    <col min="8966" max="8966" width="5.75" style="75" customWidth="1"/>
    <col min="8967" max="8967" width="6.375" style="75" customWidth="1"/>
    <col min="8968" max="8969" width="5.375" style="75" customWidth="1"/>
    <col min="8970" max="8971" width="5.5" style="75" customWidth="1"/>
    <col min="8972" max="8977" width="5.125" style="75" customWidth="1"/>
    <col min="8978" max="8978" width="6.25" style="75" customWidth="1"/>
    <col min="8979" max="8979" width="6.375" style="75" customWidth="1"/>
    <col min="8980" max="8980" width="6" style="75" customWidth="1"/>
    <col min="8981" max="8981" width="5.5" style="75" customWidth="1"/>
    <col min="8982" max="8982" width="8.625" style="75" customWidth="1"/>
    <col min="8983" max="8983" width="0.75" style="75" customWidth="1"/>
    <col min="8984" max="8984" width="3.625" style="75" customWidth="1"/>
    <col min="8985" max="9216" width="5" style="75"/>
    <col min="9217" max="9217" width="11.5" style="75" customWidth="1"/>
    <col min="9218" max="9218" width="12.875" style="75" customWidth="1"/>
    <col min="9219" max="9219" width="6.25" style="75" customWidth="1"/>
    <col min="9220" max="9220" width="4.625" style="75" bestFit="1" customWidth="1"/>
    <col min="9221" max="9221" width="4.625" style="75" customWidth="1"/>
    <col min="9222" max="9222" width="5.75" style="75" customWidth="1"/>
    <col min="9223" max="9223" width="6.375" style="75" customWidth="1"/>
    <col min="9224" max="9225" width="5.375" style="75" customWidth="1"/>
    <col min="9226" max="9227" width="5.5" style="75" customWidth="1"/>
    <col min="9228" max="9233" width="5.125" style="75" customWidth="1"/>
    <col min="9234" max="9234" width="6.25" style="75" customWidth="1"/>
    <col min="9235" max="9235" width="6.375" style="75" customWidth="1"/>
    <col min="9236" max="9236" width="6" style="75" customWidth="1"/>
    <col min="9237" max="9237" width="5.5" style="75" customWidth="1"/>
    <col min="9238" max="9238" width="8.625" style="75" customWidth="1"/>
    <col min="9239" max="9239" width="0.75" style="75" customWidth="1"/>
    <col min="9240" max="9240" width="3.625" style="75" customWidth="1"/>
    <col min="9241" max="9472" width="5" style="75"/>
    <col min="9473" max="9473" width="11.5" style="75" customWidth="1"/>
    <col min="9474" max="9474" width="12.875" style="75" customWidth="1"/>
    <col min="9475" max="9475" width="6.25" style="75" customWidth="1"/>
    <col min="9476" max="9476" width="4.625" style="75" bestFit="1" customWidth="1"/>
    <col min="9477" max="9477" width="4.625" style="75" customWidth="1"/>
    <col min="9478" max="9478" width="5.75" style="75" customWidth="1"/>
    <col min="9479" max="9479" width="6.375" style="75" customWidth="1"/>
    <col min="9480" max="9481" width="5.375" style="75" customWidth="1"/>
    <col min="9482" max="9483" width="5.5" style="75" customWidth="1"/>
    <col min="9484" max="9489" width="5.125" style="75" customWidth="1"/>
    <col min="9490" max="9490" width="6.25" style="75" customWidth="1"/>
    <col min="9491" max="9491" width="6.375" style="75" customWidth="1"/>
    <col min="9492" max="9492" width="6" style="75" customWidth="1"/>
    <col min="9493" max="9493" width="5.5" style="75" customWidth="1"/>
    <col min="9494" max="9494" width="8.625" style="75" customWidth="1"/>
    <col min="9495" max="9495" width="0.75" style="75" customWidth="1"/>
    <col min="9496" max="9496" width="3.625" style="75" customWidth="1"/>
    <col min="9497" max="9728" width="5" style="75"/>
    <col min="9729" max="9729" width="11.5" style="75" customWidth="1"/>
    <col min="9730" max="9730" width="12.875" style="75" customWidth="1"/>
    <col min="9731" max="9731" width="6.25" style="75" customWidth="1"/>
    <col min="9732" max="9732" width="4.625" style="75" bestFit="1" customWidth="1"/>
    <col min="9733" max="9733" width="4.625" style="75" customWidth="1"/>
    <col min="9734" max="9734" width="5.75" style="75" customWidth="1"/>
    <col min="9735" max="9735" width="6.375" style="75" customWidth="1"/>
    <col min="9736" max="9737" width="5.375" style="75" customWidth="1"/>
    <col min="9738" max="9739" width="5.5" style="75" customWidth="1"/>
    <col min="9740" max="9745" width="5.125" style="75" customWidth="1"/>
    <col min="9746" max="9746" width="6.25" style="75" customWidth="1"/>
    <col min="9747" max="9747" width="6.375" style="75" customWidth="1"/>
    <col min="9748" max="9748" width="6" style="75" customWidth="1"/>
    <col min="9749" max="9749" width="5.5" style="75" customWidth="1"/>
    <col min="9750" max="9750" width="8.625" style="75" customWidth="1"/>
    <col min="9751" max="9751" width="0.75" style="75" customWidth="1"/>
    <col min="9752" max="9752" width="3.625" style="75" customWidth="1"/>
    <col min="9753" max="9984" width="5" style="75"/>
    <col min="9985" max="9985" width="11.5" style="75" customWidth="1"/>
    <col min="9986" max="9986" width="12.875" style="75" customWidth="1"/>
    <col min="9987" max="9987" width="6.25" style="75" customWidth="1"/>
    <col min="9988" max="9988" width="4.625" style="75" bestFit="1" customWidth="1"/>
    <col min="9989" max="9989" width="4.625" style="75" customWidth="1"/>
    <col min="9990" max="9990" width="5.75" style="75" customWidth="1"/>
    <col min="9991" max="9991" width="6.375" style="75" customWidth="1"/>
    <col min="9992" max="9993" width="5.375" style="75" customWidth="1"/>
    <col min="9994" max="9995" width="5.5" style="75" customWidth="1"/>
    <col min="9996" max="10001" width="5.125" style="75" customWidth="1"/>
    <col min="10002" max="10002" width="6.25" style="75" customWidth="1"/>
    <col min="10003" max="10003" width="6.375" style="75" customWidth="1"/>
    <col min="10004" max="10004" width="6" style="75" customWidth="1"/>
    <col min="10005" max="10005" width="5.5" style="75" customWidth="1"/>
    <col min="10006" max="10006" width="8.625" style="75" customWidth="1"/>
    <col min="10007" max="10007" width="0.75" style="75" customWidth="1"/>
    <col min="10008" max="10008" width="3.625" style="75" customWidth="1"/>
    <col min="10009" max="10240" width="5" style="75"/>
    <col min="10241" max="10241" width="11.5" style="75" customWidth="1"/>
    <col min="10242" max="10242" width="12.875" style="75" customWidth="1"/>
    <col min="10243" max="10243" width="6.25" style="75" customWidth="1"/>
    <col min="10244" max="10244" width="4.625" style="75" bestFit="1" customWidth="1"/>
    <col min="10245" max="10245" width="4.625" style="75" customWidth="1"/>
    <col min="10246" max="10246" width="5.75" style="75" customWidth="1"/>
    <col min="10247" max="10247" width="6.375" style="75" customWidth="1"/>
    <col min="10248" max="10249" width="5.375" style="75" customWidth="1"/>
    <col min="10250" max="10251" width="5.5" style="75" customWidth="1"/>
    <col min="10252" max="10257" width="5.125" style="75" customWidth="1"/>
    <col min="10258" max="10258" width="6.25" style="75" customWidth="1"/>
    <col min="10259" max="10259" width="6.375" style="75" customWidth="1"/>
    <col min="10260" max="10260" width="6" style="75" customWidth="1"/>
    <col min="10261" max="10261" width="5.5" style="75" customWidth="1"/>
    <col min="10262" max="10262" width="8.625" style="75" customWidth="1"/>
    <col min="10263" max="10263" width="0.75" style="75" customWidth="1"/>
    <col min="10264" max="10264" width="3.625" style="75" customWidth="1"/>
    <col min="10265" max="10496" width="5" style="75"/>
    <col min="10497" max="10497" width="11.5" style="75" customWidth="1"/>
    <col min="10498" max="10498" width="12.875" style="75" customWidth="1"/>
    <col min="10499" max="10499" width="6.25" style="75" customWidth="1"/>
    <col min="10500" max="10500" width="4.625" style="75" bestFit="1" customWidth="1"/>
    <col min="10501" max="10501" width="4.625" style="75" customWidth="1"/>
    <col min="10502" max="10502" width="5.75" style="75" customWidth="1"/>
    <col min="10503" max="10503" width="6.375" style="75" customWidth="1"/>
    <col min="10504" max="10505" width="5.375" style="75" customWidth="1"/>
    <col min="10506" max="10507" width="5.5" style="75" customWidth="1"/>
    <col min="10508" max="10513" width="5.125" style="75" customWidth="1"/>
    <col min="10514" max="10514" width="6.25" style="75" customWidth="1"/>
    <col min="10515" max="10515" width="6.375" style="75" customWidth="1"/>
    <col min="10516" max="10516" width="6" style="75" customWidth="1"/>
    <col min="10517" max="10517" width="5.5" style="75" customWidth="1"/>
    <col min="10518" max="10518" width="8.625" style="75" customWidth="1"/>
    <col min="10519" max="10519" width="0.75" style="75" customWidth="1"/>
    <col min="10520" max="10520" width="3.625" style="75" customWidth="1"/>
    <col min="10521" max="10752" width="5" style="75"/>
    <col min="10753" max="10753" width="11.5" style="75" customWidth="1"/>
    <col min="10754" max="10754" width="12.875" style="75" customWidth="1"/>
    <col min="10755" max="10755" width="6.25" style="75" customWidth="1"/>
    <col min="10756" max="10756" width="4.625" style="75" bestFit="1" customWidth="1"/>
    <col min="10757" max="10757" width="4.625" style="75" customWidth="1"/>
    <col min="10758" max="10758" width="5.75" style="75" customWidth="1"/>
    <col min="10759" max="10759" width="6.375" style="75" customWidth="1"/>
    <col min="10760" max="10761" width="5.375" style="75" customWidth="1"/>
    <col min="10762" max="10763" width="5.5" style="75" customWidth="1"/>
    <col min="10764" max="10769" width="5.125" style="75" customWidth="1"/>
    <col min="10770" max="10770" width="6.25" style="75" customWidth="1"/>
    <col min="10771" max="10771" width="6.375" style="75" customWidth="1"/>
    <col min="10772" max="10772" width="6" style="75" customWidth="1"/>
    <col min="10773" max="10773" width="5.5" style="75" customWidth="1"/>
    <col min="10774" max="10774" width="8.625" style="75" customWidth="1"/>
    <col min="10775" max="10775" width="0.75" style="75" customWidth="1"/>
    <col min="10776" max="10776" width="3.625" style="75" customWidth="1"/>
    <col min="10777" max="11008" width="5" style="75"/>
    <col min="11009" max="11009" width="11.5" style="75" customWidth="1"/>
    <col min="11010" max="11010" width="12.875" style="75" customWidth="1"/>
    <col min="11011" max="11011" width="6.25" style="75" customWidth="1"/>
    <col min="11012" max="11012" width="4.625" style="75" bestFit="1" customWidth="1"/>
    <col min="11013" max="11013" width="4.625" style="75" customWidth="1"/>
    <col min="11014" max="11014" width="5.75" style="75" customWidth="1"/>
    <col min="11015" max="11015" width="6.375" style="75" customWidth="1"/>
    <col min="11016" max="11017" width="5.375" style="75" customWidth="1"/>
    <col min="11018" max="11019" width="5.5" style="75" customWidth="1"/>
    <col min="11020" max="11025" width="5.125" style="75" customWidth="1"/>
    <col min="11026" max="11026" width="6.25" style="75" customWidth="1"/>
    <col min="11027" max="11027" width="6.375" style="75" customWidth="1"/>
    <col min="11028" max="11028" width="6" style="75" customWidth="1"/>
    <col min="11029" max="11029" width="5.5" style="75" customWidth="1"/>
    <col min="11030" max="11030" width="8.625" style="75" customWidth="1"/>
    <col min="11031" max="11031" width="0.75" style="75" customWidth="1"/>
    <col min="11032" max="11032" width="3.625" style="75" customWidth="1"/>
    <col min="11033" max="11264" width="5" style="75"/>
    <col min="11265" max="11265" width="11.5" style="75" customWidth="1"/>
    <col min="11266" max="11266" width="12.875" style="75" customWidth="1"/>
    <col min="11267" max="11267" width="6.25" style="75" customWidth="1"/>
    <col min="11268" max="11268" width="4.625" style="75" bestFit="1" customWidth="1"/>
    <col min="11269" max="11269" width="4.625" style="75" customWidth="1"/>
    <col min="11270" max="11270" width="5.75" style="75" customWidth="1"/>
    <col min="11271" max="11271" width="6.375" style="75" customWidth="1"/>
    <col min="11272" max="11273" width="5.375" style="75" customWidth="1"/>
    <col min="11274" max="11275" width="5.5" style="75" customWidth="1"/>
    <col min="11276" max="11281" width="5.125" style="75" customWidth="1"/>
    <col min="11282" max="11282" width="6.25" style="75" customWidth="1"/>
    <col min="11283" max="11283" width="6.375" style="75" customWidth="1"/>
    <col min="11284" max="11284" width="6" style="75" customWidth="1"/>
    <col min="11285" max="11285" width="5.5" style="75" customWidth="1"/>
    <col min="11286" max="11286" width="8.625" style="75" customWidth="1"/>
    <col min="11287" max="11287" width="0.75" style="75" customWidth="1"/>
    <col min="11288" max="11288" width="3.625" style="75" customWidth="1"/>
    <col min="11289" max="11520" width="5" style="75"/>
    <col min="11521" max="11521" width="11.5" style="75" customWidth="1"/>
    <col min="11522" max="11522" width="12.875" style="75" customWidth="1"/>
    <col min="11523" max="11523" width="6.25" style="75" customWidth="1"/>
    <col min="11524" max="11524" width="4.625" style="75" bestFit="1" customWidth="1"/>
    <col min="11525" max="11525" width="4.625" style="75" customWidth="1"/>
    <col min="11526" max="11526" width="5.75" style="75" customWidth="1"/>
    <col min="11527" max="11527" width="6.375" style="75" customWidth="1"/>
    <col min="11528" max="11529" width="5.375" style="75" customWidth="1"/>
    <col min="11530" max="11531" width="5.5" style="75" customWidth="1"/>
    <col min="11532" max="11537" width="5.125" style="75" customWidth="1"/>
    <col min="11538" max="11538" width="6.25" style="75" customWidth="1"/>
    <col min="11539" max="11539" width="6.375" style="75" customWidth="1"/>
    <col min="11540" max="11540" width="6" style="75" customWidth="1"/>
    <col min="11541" max="11541" width="5.5" style="75" customWidth="1"/>
    <col min="11542" max="11542" width="8.625" style="75" customWidth="1"/>
    <col min="11543" max="11543" width="0.75" style="75" customWidth="1"/>
    <col min="11544" max="11544" width="3.625" style="75" customWidth="1"/>
    <col min="11545" max="11776" width="5" style="75"/>
    <col min="11777" max="11777" width="11.5" style="75" customWidth="1"/>
    <col min="11778" max="11778" width="12.875" style="75" customWidth="1"/>
    <col min="11779" max="11779" width="6.25" style="75" customWidth="1"/>
    <col min="11780" max="11780" width="4.625" style="75" bestFit="1" customWidth="1"/>
    <col min="11781" max="11781" width="4.625" style="75" customWidth="1"/>
    <col min="11782" max="11782" width="5.75" style="75" customWidth="1"/>
    <col min="11783" max="11783" width="6.375" style="75" customWidth="1"/>
    <col min="11784" max="11785" width="5.375" style="75" customWidth="1"/>
    <col min="11786" max="11787" width="5.5" style="75" customWidth="1"/>
    <col min="11788" max="11793" width="5.125" style="75" customWidth="1"/>
    <col min="11794" max="11794" width="6.25" style="75" customWidth="1"/>
    <col min="11795" max="11795" width="6.375" style="75" customWidth="1"/>
    <col min="11796" max="11796" width="6" style="75" customWidth="1"/>
    <col min="11797" max="11797" width="5.5" style="75" customWidth="1"/>
    <col min="11798" max="11798" width="8.625" style="75" customWidth="1"/>
    <col min="11799" max="11799" width="0.75" style="75" customWidth="1"/>
    <col min="11800" max="11800" width="3.625" style="75" customWidth="1"/>
    <col min="11801" max="12032" width="5" style="75"/>
    <col min="12033" max="12033" width="11.5" style="75" customWidth="1"/>
    <col min="12034" max="12034" width="12.875" style="75" customWidth="1"/>
    <col min="12035" max="12035" width="6.25" style="75" customWidth="1"/>
    <col min="12036" max="12036" width="4.625" style="75" bestFit="1" customWidth="1"/>
    <col min="12037" max="12037" width="4.625" style="75" customWidth="1"/>
    <col min="12038" max="12038" width="5.75" style="75" customWidth="1"/>
    <col min="12039" max="12039" width="6.375" style="75" customWidth="1"/>
    <col min="12040" max="12041" width="5.375" style="75" customWidth="1"/>
    <col min="12042" max="12043" width="5.5" style="75" customWidth="1"/>
    <col min="12044" max="12049" width="5.125" style="75" customWidth="1"/>
    <col min="12050" max="12050" width="6.25" style="75" customWidth="1"/>
    <col min="12051" max="12051" width="6.375" style="75" customWidth="1"/>
    <col min="12052" max="12052" width="6" style="75" customWidth="1"/>
    <col min="12053" max="12053" width="5.5" style="75" customWidth="1"/>
    <col min="12054" max="12054" width="8.625" style="75" customWidth="1"/>
    <col min="12055" max="12055" width="0.75" style="75" customWidth="1"/>
    <col min="12056" max="12056" width="3.625" style="75" customWidth="1"/>
    <col min="12057" max="12288" width="5" style="75"/>
    <col min="12289" max="12289" width="11.5" style="75" customWidth="1"/>
    <col min="12290" max="12290" width="12.875" style="75" customWidth="1"/>
    <col min="12291" max="12291" width="6.25" style="75" customWidth="1"/>
    <col min="12292" max="12292" width="4.625" style="75" bestFit="1" customWidth="1"/>
    <col min="12293" max="12293" width="4.625" style="75" customWidth="1"/>
    <col min="12294" max="12294" width="5.75" style="75" customWidth="1"/>
    <col min="12295" max="12295" width="6.375" style="75" customWidth="1"/>
    <col min="12296" max="12297" width="5.375" style="75" customWidth="1"/>
    <col min="12298" max="12299" width="5.5" style="75" customWidth="1"/>
    <col min="12300" max="12305" width="5.125" style="75" customWidth="1"/>
    <col min="12306" max="12306" width="6.25" style="75" customWidth="1"/>
    <col min="12307" max="12307" width="6.375" style="75" customWidth="1"/>
    <col min="12308" max="12308" width="6" style="75" customWidth="1"/>
    <col min="12309" max="12309" width="5.5" style="75" customWidth="1"/>
    <col min="12310" max="12310" width="8.625" style="75" customWidth="1"/>
    <col min="12311" max="12311" width="0.75" style="75" customWidth="1"/>
    <col min="12312" max="12312" width="3.625" style="75" customWidth="1"/>
    <col min="12313" max="12544" width="5" style="75"/>
    <col min="12545" max="12545" width="11.5" style="75" customWidth="1"/>
    <col min="12546" max="12546" width="12.875" style="75" customWidth="1"/>
    <col min="12547" max="12547" width="6.25" style="75" customWidth="1"/>
    <col min="12548" max="12548" width="4.625" style="75" bestFit="1" customWidth="1"/>
    <col min="12549" max="12549" width="4.625" style="75" customWidth="1"/>
    <col min="12550" max="12550" width="5.75" style="75" customWidth="1"/>
    <col min="12551" max="12551" width="6.375" style="75" customWidth="1"/>
    <col min="12552" max="12553" width="5.375" style="75" customWidth="1"/>
    <col min="12554" max="12555" width="5.5" style="75" customWidth="1"/>
    <col min="12556" max="12561" width="5.125" style="75" customWidth="1"/>
    <col min="12562" max="12562" width="6.25" style="75" customWidth="1"/>
    <col min="12563" max="12563" width="6.375" style="75" customWidth="1"/>
    <col min="12564" max="12564" width="6" style="75" customWidth="1"/>
    <col min="12565" max="12565" width="5.5" style="75" customWidth="1"/>
    <col min="12566" max="12566" width="8.625" style="75" customWidth="1"/>
    <col min="12567" max="12567" width="0.75" style="75" customWidth="1"/>
    <col min="12568" max="12568" width="3.625" style="75" customWidth="1"/>
    <col min="12569" max="12800" width="5" style="75"/>
    <col min="12801" max="12801" width="11.5" style="75" customWidth="1"/>
    <col min="12802" max="12802" width="12.875" style="75" customWidth="1"/>
    <col min="12803" max="12803" width="6.25" style="75" customWidth="1"/>
    <col min="12804" max="12804" width="4.625" style="75" bestFit="1" customWidth="1"/>
    <col min="12805" max="12805" width="4.625" style="75" customWidth="1"/>
    <col min="12806" max="12806" width="5.75" style="75" customWidth="1"/>
    <col min="12807" max="12807" width="6.375" style="75" customWidth="1"/>
    <col min="12808" max="12809" width="5.375" style="75" customWidth="1"/>
    <col min="12810" max="12811" width="5.5" style="75" customWidth="1"/>
    <col min="12812" max="12817" width="5.125" style="75" customWidth="1"/>
    <col min="12818" max="12818" width="6.25" style="75" customWidth="1"/>
    <col min="12819" max="12819" width="6.375" style="75" customWidth="1"/>
    <col min="12820" max="12820" width="6" style="75" customWidth="1"/>
    <col min="12821" max="12821" width="5.5" style="75" customWidth="1"/>
    <col min="12822" max="12822" width="8.625" style="75" customWidth="1"/>
    <col min="12823" max="12823" width="0.75" style="75" customWidth="1"/>
    <col min="12824" max="12824" width="3.625" style="75" customWidth="1"/>
    <col min="12825" max="13056" width="5" style="75"/>
    <col min="13057" max="13057" width="11.5" style="75" customWidth="1"/>
    <col min="13058" max="13058" width="12.875" style="75" customWidth="1"/>
    <col min="13059" max="13059" width="6.25" style="75" customWidth="1"/>
    <col min="13060" max="13060" width="4.625" style="75" bestFit="1" customWidth="1"/>
    <col min="13061" max="13061" width="4.625" style="75" customWidth="1"/>
    <col min="13062" max="13062" width="5.75" style="75" customWidth="1"/>
    <col min="13063" max="13063" width="6.375" style="75" customWidth="1"/>
    <col min="13064" max="13065" width="5.375" style="75" customWidth="1"/>
    <col min="13066" max="13067" width="5.5" style="75" customWidth="1"/>
    <col min="13068" max="13073" width="5.125" style="75" customWidth="1"/>
    <col min="13074" max="13074" width="6.25" style="75" customWidth="1"/>
    <col min="13075" max="13075" width="6.375" style="75" customWidth="1"/>
    <col min="13076" max="13076" width="6" style="75" customWidth="1"/>
    <col min="13077" max="13077" width="5.5" style="75" customWidth="1"/>
    <col min="13078" max="13078" width="8.625" style="75" customWidth="1"/>
    <col min="13079" max="13079" width="0.75" style="75" customWidth="1"/>
    <col min="13080" max="13080" width="3.625" style="75" customWidth="1"/>
    <col min="13081" max="13312" width="5" style="75"/>
    <col min="13313" max="13313" width="11.5" style="75" customWidth="1"/>
    <col min="13314" max="13314" width="12.875" style="75" customWidth="1"/>
    <col min="13315" max="13315" width="6.25" style="75" customWidth="1"/>
    <col min="13316" max="13316" width="4.625" style="75" bestFit="1" customWidth="1"/>
    <col min="13317" max="13317" width="4.625" style="75" customWidth="1"/>
    <col min="13318" max="13318" width="5.75" style="75" customWidth="1"/>
    <col min="13319" max="13319" width="6.375" style="75" customWidth="1"/>
    <col min="13320" max="13321" width="5.375" style="75" customWidth="1"/>
    <col min="13322" max="13323" width="5.5" style="75" customWidth="1"/>
    <col min="13324" max="13329" width="5.125" style="75" customWidth="1"/>
    <col min="13330" max="13330" width="6.25" style="75" customWidth="1"/>
    <col min="13331" max="13331" width="6.375" style="75" customWidth="1"/>
    <col min="13332" max="13332" width="6" style="75" customWidth="1"/>
    <col min="13333" max="13333" width="5.5" style="75" customWidth="1"/>
    <col min="13334" max="13334" width="8.625" style="75" customWidth="1"/>
    <col min="13335" max="13335" width="0.75" style="75" customWidth="1"/>
    <col min="13336" max="13336" width="3.625" style="75" customWidth="1"/>
    <col min="13337" max="13568" width="5" style="75"/>
    <col min="13569" max="13569" width="11.5" style="75" customWidth="1"/>
    <col min="13570" max="13570" width="12.875" style="75" customWidth="1"/>
    <col min="13571" max="13571" width="6.25" style="75" customWidth="1"/>
    <col min="13572" max="13572" width="4.625" style="75" bestFit="1" customWidth="1"/>
    <col min="13573" max="13573" width="4.625" style="75" customWidth="1"/>
    <col min="13574" max="13574" width="5.75" style="75" customWidth="1"/>
    <col min="13575" max="13575" width="6.375" style="75" customWidth="1"/>
    <col min="13576" max="13577" width="5.375" style="75" customWidth="1"/>
    <col min="13578" max="13579" width="5.5" style="75" customWidth="1"/>
    <col min="13580" max="13585" width="5.125" style="75" customWidth="1"/>
    <col min="13586" max="13586" width="6.25" style="75" customWidth="1"/>
    <col min="13587" max="13587" width="6.375" style="75" customWidth="1"/>
    <col min="13588" max="13588" width="6" style="75" customWidth="1"/>
    <col min="13589" max="13589" width="5.5" style="75" customWidth="1"/>
    <col min="13590" max="13590" width="8.625" style="75" customWidth="1"/>
    <col min="13591" max="13591" width="0.75" style="75" customWidth="1"/>
    <col min="13592" max="13592" width="3.625" style="75" customWidth="1"/>
    <col min="13593" max="13824" width="5" style="75"/>
    <col min="13825" max="13825" width="11.5" style="75" customWidth="1"/>
    <col min="13826" max="13826" width="12.875" style="75" customWidth="1"/>
    <col min="13827" max="13827" width="6.25" style="75" customWidth="1"/>
    <col min="13828" max="13828" width="4.625" style="75" bestFit="1" customWidth="1"/>
    <col min="13829" max="13829" width="4.625" style="75" customWidth="1"/>
    <col min="13830" max="13830" width="5.75" style="75" customWidth="1"/>
    <col min="13831" max="13831" width="6.375" style="75" customWidth="1"/>
    <col min="13832" max="13833" width="5.375" style="75" customWidth="1"/>
    <col min="13834" max="13835" width="5.5" style="75" customWidth="1"/>
    <col min="13836" max="13841" width="5.125" style="75" customWidth="1"/>
    <col min="13842" max="13842" width="6.25" style="75" customWidth="1"/>
    <col min="13843" max="13843" width="6.375" style="75" customWidth="1"/>
    <col min="13844" max="13844" width="6" style="75" customWidth="1"/>
    <col min="13845" max="13845" width="5.5" style="75" customWidth="1"/>
    <col min="13846" max="13846" width="8.625" style="75" customWidth="1"/>
    <col min="13847" max="13847" width="0.75" style="75" customWidth="1"/>
    <col min="13848" max="13848" width="3.625" style="75" customWidth="1"/>
    <col min="13849" max="14080" width="5" style="75"/>
    <col min="14081" max="14081" width="11.5" style="75" customWidth="1"/>
    <col min="14082" max="14082" width="12.875" style="75" customWidth="1"/>
    <col min="14083" max="14083" width="6.25" style="75" customWidth="1"/>
    <col min="14084" max="14084" width="4.625" style="75" bestFit="1" customWidth="1"/>
    <col min="14085" max="14085" width="4.625" style="75" customWidth="1"/>
    <col min="14086" max="14086" width="5.75" style="75" customWidth="1"/>
    <col min="14087" max="14087" width="6.375" style="75" customWidth="1"/>
    <col min="14088" max="14089" width="5.375" style="75" customWidth="1"/>
    <col min="14090" max="14091" width="5.5" style="75" customWidth="1"/>
    <col min="14092" max="14097" width="5.125" style="75" customWidth="1"/>
    <col min="14098" max="14098" width="6.25" style="75" customWidth="1"/>
    <col min="14099" max="14099" width="6.375" style="75" customWidth="1"/>
    <col min="14100" max="14100" width="6" style="75" customWidth="1"/>
    <col min="14101" max="14101" width="5.5" style="75" customWidth="1"/>
    <col min="14102" max="14102" width="8.625" style="75" customWidth="1"/>
    <col min="14103" max="14103" width="0.75" style="75" customWidth="1"/>
    <col min="14104" max="14104" width="3.625" style="75" customWidth="1"/>
    <col min="14105" max="14336" width="5" style="75"/>
    <col min="14337" max="14337" width="11.5" style="75" customWidth="1"/>
    <col min="14338" max="14338" width="12.875" style="75" customWidth="1"/>
    <col min="14339" max="14339" width="6.25" style="75" customWidth="1"/>
    <col min="14340" max="14340" width="4.625" style="75" bestFit="1" customWidth="1"/>
    <col min="14341" max="14341" width="4.625" style="75" customWidth="1"/>
    <col min="14342" max="14342" width="5.75" style="75" customWidth="1"/>
    <col min="14343" max="14343" width="6.375" style="75" customWidth="1"/>
    <col min="14344" max="14345" width="5.375" style="75" customWidth="1"/>
    <col min="14346" max="14347" width="5.5" style="75" customWidth="1"/>
    <col min="14348" max="14353" width="5.125" style="75" customWidth="1"/>
    <col min="14354" max="14354" width="6.25" style="75" customWidth="1"/>
    <col min="14355" max="14355" width="6.375" style="75" customWidth="1"/>
    <col min="14356" max="14356" width="6" style="75" customWidth="1"/>
    <col min="14357" max="14357" width="5.5" style="75" customWidth="1"/>
    <col min="14358" max="14358" width="8.625" style="75" customWidth="1"/>
    <col min="14359" max="14359" width="0.75" style="75" customWidth="1"/>
    <col min="14360" max="14360" width="3.625" style="75" customWidth="1"/>
    <col min="14361" max="14592" width="5" style="75"/>
    <col min="14593" max="14593" width="11.5" style="75" customWidth="1"/>
    <col min="14594" max="14594" width="12.875" style="75" customWidth="1"/>
    <col min="14595" max="14595" width="6.25" style="75" customWidth="1"/>
    <col min="14596" max="14596" width="4.625" style="75" bestFit="1" customWidth="1"/>
    <col min="14597" max="14597" width="4.625" style="75" customWidth="1"/>
    <col min="14598" max="14598" width="5.75" style="75" customWidth="1"/>
    <col min="14599" max="14599" width="6.375" style="75" customWidth="1"/>
    <col min="14600" max="14601" width="5.375" style="75" customWidth="1"/>
    <col min="14602" max="14603" width="5.5" style="75" customWidth="1"/>
    <col min="14604" max="14609" width="5.125" style="75" customWidth="1"/>
    <col min="14610" max="14610" width="6.25" style="75" customWidth="1"/>
    <col min="14611" max="14611" width="6.375" style="75" customWidth="1"/>
    <col min="14612" max="14612" width="6" style="75" customWidth="1"/>
    <col min="14613" max="14613" width="5.5" style="75" customWidth="1"/>
    <col min="14614" max="14614" width="8.625" style="75" customWidth="1"/>
    <col min="14615" max="14615" width="0.75" style="75" customWidth="1"/>
    <col min="14616" max="14616" width="3.625" style="75" customWidth="1"/>
    <col min="14617" max="14848" width="5" style="75"/>
    <col min="14849" max="14849" width="11.5" style="75" customWidth="1"/>
    <col min="14850" max="14850" width="12.875" style="75" customWidth="1"/>
    <col min="14851" max="14851" width="6.25" style="75" customWidth="1"/>
    <col min="14852" max="14852" width="4.625" style="75" bestFit="1" customWidth="1"/>
    <col min="14853" max="14853" width="4.625" style="75" customWidth="1"/>
    <col min="14854" max="14854" width="5.75" style="75" customWidth="1"/>
    <col min="14855" max="14855" width="6.375" style="75" customWidth="1"/>
    <col min="14856" max="14857" width="5.375" style="75" customWidth="1"/>
    <col min="14858" max="14859" width="5.5" style="75" customWidth="1"/>
    <col min="14860" max="14865" width="5.125" style="75" customWidth="1"/>
    <col min="14866" max="14866" width="6.25" style="75" customWidth="1"/>
    <col min="14867" max="14867" width="6.375" style="75" customWidth="1"/>
    <col min="14868" max="14868" width="6" style="75" customWidth="1"/>
    <col min="14869" max="14869" width="5.5" style="75" customWidth="1"/>
    <col min="14870" max="14870" width="8.625" style="75" customWidth="1"/>
    <col min="14871" max="14871" width="0.75" style="75" customWidth="1"/>
    <col min="14872" max="14872" width="3.625" style="75" customWidth="1"/>
    <col min="14873" max="15104" width="5" style="75"/>
    <col min="15105" max="15105" width="11.5" style="75" customWidth="1"/>
    <col min="15106" max="15106" width="12.875" style="75" customWidth="1"/>
    <col min="15107" max="15107" width="6.25" style="75" customWidth="1"/>
    <col min="15108" max="15108" width="4.625" style="75" bestFit="1" customWidth="1"/>
    <col min="15109" max="15109" width="4.625" style="75" customWidth="1"/>
    <col min="15110" max="15110" width="5.75" style="75" customWidth="1"/>
    <col min="15111" max="15111" width="6.375" style="75" customWidth="1"/>
    <col min="15112" max="15113" width="5.375" style="75" customWidth="1"/>
    <col min="15114" max="15115" width="5.5" style="75" customWidth="1"/>
    <col min="15116" max="15121" width="5.125" style="75" customWidth="1"/>
    <col min="15122" max="15122" width="6.25" style="75" customWidth="1"/>
    <col min="15123" max="15123" width="6.375" style="75" customWidth="1"/>
    <col min="15124" max="15124" width="6" style="75" customWidth="1"/>
    <col min="15125" max="15125" width="5.5" style="75" customWidth="1"/>
    <col min="15126" max="15126" width="8.625" style="75" customWidth="1"/>
    <col min="15127" max="15127" width="0.75" style="75" customWidth="1"/>
    <col min="15128" max="15128" width="3.625" style="75" customWidth="1"/>
    <col min="15129" max="15360" width="5" style="75"/>
    <col min="15361" max="15361" width="11.5" style="75" customWidth="1"/>
    <col min="15362" max="15362" width="12.875" style="75" customWidth="1"/>
    <col min="15363" max="15363" width="6.25" style="75" customWidth="1"/>
    <col min="15364" max="15364" width="4.625" style="75" bestFit="1" customWidth="1"/>
    <col min="15365" max="15365" width="4.625" style="75" customWidth="1"/>
    <col min="15366" max="15366" width="5.75" style="75" customWidth="1"/>
    <col min="15367" max="15367" width="6.375" style="75" customWidth="1"/>
    <col min="15368" max="15369" width="5.375" style="75" customWidth="1"/>
    <col min="15370" max="15371" width="5.5" style="75" customWidth="1"/>
    <col min="15372" max="15377" width="5.125" style="75" customWidth="1"/>
    <col min="15378" max="15378" width="6.25" style="75" customWidth="1"/>
    <col min="15379" max="15379" width="6.375" style="75" customWidth="1"/>
    <col min="15380" max="15380" width="6" style="75" customWidth="1"/>
    <col min="15381" max="15381" width="5.5" style="75" customWidth="1"/>
    <col min="15382" max="15382" width="8.625" style="75" customWidth="1"/>
    <col min="15383" max="15383" width="0.75" style="75" customWidth="1"/>
    <col min="15384" max="15384" width="3.625" style="75" customWidth="1"/>
    <col min="15385" max="15616" width="5" style="75"/>
    <col min="15617" max="15617" width="11.5" style="75" customWidth="1"/>
    <col min="15618" max="15618" width="12.875" style="75" customWidth="1"/>
    <col min="15619" max="15619" width="6.25" style="75" customWidth="1"/>
    <col min="15620" max="15620" width="4.625" style="75" bestFit="1" customWidth="1"/>
    <col min="15621" max="15621" width="4.625" style="75" customWidth="1"/>
    <col min="15622" max="15622" width="5.75" style="75" customWidth="1"/>
    <col min="15623" max="15623" width="6.375" style="75" customWidth="1"/>
    <col min="15624" max="15625" width="5.375" style="75" customWidth="1"/>
    <col min="15626" max="15627" width="5.5" style="75" customWidth="1"/>
    <col min="15628" max="15633" width="5.125" style="75" customWidth="1"/>
    <col min="15634" max="15634" width="6.25" style="75" customWidth="1"/>
    <col min="15635" max="15635" width="6.375" style="75" customWidth="1"/>
    <col min="15636" max="15636" width="6" style="75" customWidth="1"/>
    <col min="15637" max="15637" width="5.5" style="75" customWidth="1"/>
    <col min="15638" max="15638" width="8.625" style="75" customWidth="1"/>
    <col min="15639" max="15639" width="0.75" style="75" customWidth="1"/>
    <col min="15640" max="15640" width="3.625" style="75" customWidth="1"/>
    <col min="15641" max="15872" width="5" style="75"/>
    <col min="15873" max="15873" width="11.5" style="75" customWidth="1"/>
    <col min="15874" max="15874" width="12.875" style="75" customWidth="1"/>
    <col min="15875" max="15875" width="6.25" style="75" customWidth="1"/>
    <col min="15876" max="15876" width="4.625" style="75" bestFit="1" customWidth="1"/>
    <col min="15877" max="15877" width="4.625" style="75" customWidth="1"/>
    <col min="15878" max="15878" width="5.75" style="75" customWidth="1"/>
    <col min="15879" max="15879" width="6.375" style="75" customWidth="1"/>
    <col min="15880" max="15881" width="5.375" style="75" customWidth="1"/>
    <col min="15882" max="15883" width="5.5" style="75" customWidth="1"/>
    <col min="15884" max="15889" width="5.125" style="75" customWidth="1"/>
    <col min="15890" max="15890" width="6.25" style="75" customWidth="1"/>
    <col min="15891" max="15891" width="6.375" style="75" customWidth="1"/>
    <col min="15892" max="15892" width="6" style="75" customWidth="1"/>
    <col min="15893" max="15893" width="5.5" style="75" customWidth="1"/>
    <col min="15894" max="15894" width="8.625" style="75" customWidth="1"/>
    <col min="15895" max="15895" width="0.75" style="75" customWidth="1"/>
    <col min="15896" max="15896" width="3.625" style="75" customWidth="1"/>
    <col min="15897" max="16128" width="5" style="75"/>
    <col min="16129" max="16129" width="11.5" style="75" customWidth="1"/>
    <col min="16130" max="16130" width="12.875" style="75" customWidth="1"/>
    <col min="16131" max="16131" width="6.25" style="75" customWidth="1"/>
    <col min="16132" max="16132" width="4.625" style="75" bestFit="1" customWidth="1"/>
    <col min="16133" max="16133" width="4.625" style="75" customWidth="1"/>
    <col min="16134" max="16134" width="5.75" style="75" customWidth="1"/>
    <col min="16135" max="16135" width="6.375" style="75" customWidth="1"/>
    <col min="16136" max="16137" width="5.375" style="75" customWidth="1"/>
    <col min="16138" max="16139" width="5.5" style="75" customWidth="1"/>
    <col min="16140" max="16145" width="5.125" style="75" customWidth="1"/>
    <col min="16146" max="16146" width="6.25" style="75" customWidth="1"/>
    <col min="16147" max="16147" width="6.375" style="75" customWidth="1"/>
    <col min="16148" max="16148" width="6" style="75" customWidth="1"/>
    <col min="16149" max="16149" width="5.5" style="75" customWidth="1"/>
    <col min="16150" max="16150" width="8.625" style="75" customWidth="1"/>
    <col min="16151" max="16151" width="0.75" style="75" customWidth="1"/>
    <col min="16152" max="16152" width="3.625" style="75" customWidth="1"/>
    <col min="16153" max="16384" width="5" style="75"/>
  </cols>
  <sheetData>
    <row r="1" spans="1:27" ht="42" customHeight="1">
      <c r="C1" s="76" t="s">
        <v>40</v>
      </c>
      <c r="P1" s="78"/>
      <c r="W1" s="155" t="s">
        <v>384</v>
      </c>
    </row>
    <row r="2" spans="1:27" ht="20.25" customHeight="1">
      <c r="A2" s="79" t="s">
        <v>41</v>
      </c>
      <c r="B2" s="80"/>
      <c r="C2" s="74" t="s">
        <v>365</v>
      </c>
      <c r="D2" s="167"/>
      <c r="E2" s="167"/>
      <c r="F2" s="167"/>
      <c r="G2" s="167"/>
      <c r="H2" s="5"/>
      <c r="I2" s="81"/>
      <c r="J2" s="81"/>
      <c r="K2" s="82"/>
      <c r="L2" s="63" t="s">
        <v>42</v>
      </c>
      <c r="M2" s="80"/>
      <c r="N2" s="80"/>
      <c r="O2" s="81"/>
      <c r="P2" s="83" t="s">
        <v>188</v>
      </c>
      <c r="Q2" s="81"/>
      <c r="R2" s="81"/>
      <c r="S2" s="5"/>
      <c r="T2" s="5"/>
      <c r="U2" s="167"/>
      <c r="V2" s="6"/>
    </row>
    <row r="3" spans="1:27" ht="20.25" customHeight="1">
      <c r="A3" s="79" t="s">
        <v>43</v>
      </c>
      <c r="B3" s="80"/>
      <c r="C3" s="74" t="s">
        <v>385</v>
      </c>
      <c r="D3" s="167"/>
      <c r="E3" s="167"/>
      <c r="F3" s="167"/>
      <c r="G3" s="84"/>
      <c r="H3" s="5"/>
      <c r="I3" s="81"/>
      <c r="J3" s="81"/>
      <c r="K3" s="82"/>
      <c r="L3" s="63" t="s">
        <v>44</v>
      </c>
      <c r="M3" s="80"/>
      <c r="N3" s="80"/>
      <c r="O3" s="81"/>
      <c r="P3" s="83" t="s">
        <v>189</v>
      </c>
      <c r="Q3" s="81"/>
      <c r="R3" s="81"/>
      <c r="S3" s="85"/>
      <c r="T3" s="7"/>
      <c r="U3" s="167"/>
      <c r="V3" s="8"/>
    </row>
    <row r="4" spans="1:27" ht="20.25" customHeight="1">
      <c r="A4" s="79" t="s">
        <v>9</v>
      </c>
      <c r="B4" s="9"/>
      <c r="C4" s="175" t="s">
        <v>103</v>
      </c>
      <c r="D4" s="176"/>
      <c r="E4" s="176"/>
      <c r="F4" s="176"/>
      <c r="G4" s="177"/>
      <c r="H4" s="177"/>
      <c r="I4" s="86"/>
      <c r="J4" s="81"/>
      <c r="K4" s="82"/>
      <c r="L4" s="63" t="s">
        <v>45</v>
      </c>
      <c r="M4" s="167"/>
      <c r="N4" s="81"/>
      <c r="O4" s="81"/>
      <c r="P4" s="156" t="s">
        <v>99</v>
      </c>
      <c r="Q4" s="10" t="s">
        <v>11</v>
      </c>
      <c r="R4" s="10" t="s">
        <v>46</v>
      </c>
      <c r="S4" s="157" t="s">
        <v>104</v>
      </c>
      <c r="T4" s="87" t="s">
        <v>11</v>
      </c>
      <c r="U4" s="167"/>
      <c r="V4" s="8"/>
    </row>
    <row r="5" spans="1:27" ht="20.25" customHeight="1">
      <c r="A5" s="79" t="s">
        <v>10</v>
      </c>
      <c r="B5" s="88"/>
      <c r="C5" s="178" t="s">
        <v>105</v>
      </c>
      <c r="D5" s="179"/>
      <c r="E5" s="179"/>
      <c r="F5" s="179"/>
      <c r="G5" s="167"/>
      <c r="H5" s="5"/>
      <c r="I5" s="81"/>
      <c r="J5" s="81"/>
      <c r="K5" s="82"/>
      <c r="L5" s="63" t="s">
        <v>47</v>
      </c>
      <c r="M5" s="9"/>
      <c r="N5" s="9"/>
      <c r="O5" s="81"/>
      <c r="P5" s="180" t="s">
        <v>322</v>
      </c>
      <c r="Q5" s="177"/>
      <c r="R5" s="177"/>
      <c r="S5" s="177"/>
      <c r="T5" s="167"/>
      <c r="U5" s="167"/>
      <c r="V5" s="8"/>
    </row>
    <row r="6" spans="1:27" ht="20.25" customHeight="1">
      <c r="A6" s="79" t="s">
        <v>48</v>
      </c>
      <c r="B6" s="80"/>
      <c r="C6" s="169" t="s">
        <v>366</v>
      </c>
      <c r="D6" s="81"/>
      <c r="E6" s="81"/>
      <c r="F6" s="5" t="s">
        <v>49</v>
      </c>
      <c r="G6" s="168" t="s">
        <v>367</v>
      </c>
      <c r="H6" s="167" t="s">
        <v>12</v>
      </c>
      <c r="I6" s="81"/>
      <c r="J6" s="81"/>
      <c r="K6" s="82"/>
      <c r="L6" s="63" t="s">
        <v>369</v>
      </c>
      <c r="M6" s="9"/>
      <c r="N6" s="9"/>
      <c r="O6" s="81"/>
      <c r="P6" s="181" t="s">
        <v>323</v>
      </c>
      <c r="Q6" s="182"/>
      <c r="R6" s="182"/>
      <c r="S6" s="182"/>
      <c r="T6" s="167"/>
      <c r="U6" s="170"/>
      <c r="V6" s="171"/>
    </row>
    <row r="7" spans="1:27" ht="8.25" customHeight="1">
      <c r="A7" s="89"/>
      <c r="B7" s="89"/>
      <c r="C7" s="90"/>
      <c r="D7" s="90"/>
      <c r="E7" s="90"/>
      <c r="F7" s="90"/>
      <c r="G7" s="90"/>
      <c r="H7" s="89"/>
      <c r="I7" s="89"/>
      <c r="J7" s="89"/>
      <c r="K7" s="89"/>
      <c r="L7" s="89"/>
      <c r="M7" s="89"/>
      <c r="N7" s="89"/>
      <c r="O7" s="89"/>
      <c r="P7" s="89"/>
      <c r="Q7" s="89"/>
    </row>
    <row r="8" spans="1:27" s="92" customFormat="1" ht="27" customHeight="1">
      <c r="A8" s="183" t="s">
        <v>1</v>
      </c>
      <c r="B8" s="183"/>
      <c r="C8" s="166" t="s">
        <v>2</v>
      </c>
      <c r="D8" s="11" t="s">
        <v>370</v>
      </c>
      <c r="E8" s="11" t="s">
        <v>371</v>
      </c>
      <c r="F8" s="12" t="s">
        <v>50</v>
      </c>
      <c r="G8" s="12" t="s">
        <v>51</v>
      </c>
      <c r="H8" s="166" t="s">
        <v>52</v>
      </c>
      <c r="I8" s="166" t="s">
        <v>53</v>
      </c>
      <c r="J8" s="166" t="s">
        <v>54</v>
      </c>
      <c r="K8" s="166" t="s">
        <v>55</v>
      </c>
      <c r="L8" s="166" t="s">
        <v>56</v>
      </c>
      <c r="M8" s="166" t="s">
        <v>57</v>
      </c>
      <c r="N8" s="166" t="s">
        <v>58</v>
      </c>
      <c r="O8" s="166" t="s">
        <v>59</v>
      </c>
      <c r="P8" s="166" t="s">
        <v>60</v>
      </c>
      <c r="Q8" s="166" t="s">
        <v>61</v>
      </c>
      <c r="R8" s="166" t="s">
        <v>62</v>
      </c>
      <c r="S8" s="166" t="s">
        <v>63</v>
      </c>
      <c r="T8" s="166" t="s">
        <v>64</v>
      </c>
      <c r="U8" s="91" t="s">
        <v>65</v>
      </c>
      <c r="V8" s="166" t="s">
        <v>66</v>
      </c>
    </row>
    <row r="9" spans="1:27" ht="19.5" customHeight="1">
      <c r="A9" s="93" t="s">
        <v>67</v>
      </c>
      <c r="B9" s="161" t="s">
        <v>125</v>
      </c>
      <c r="C9" s="94" t="s">
        <v>126</v>
      </c>
      <c r="D9" s="94" t="s">
        <v>127</v>
      </c>
      <c r="E9" s="94" t="s">
        <v>386</v>
      </c>
      <c r="F9" s="158" t="s">
        <v>128</v>
      </c>
      <c r="G9" s="158" t="s">
        <v>329</v>
      </c>
      <c r="H9" s="95" t="s">
        <v>149</v>
      </c>
      <c r="I9" s="95" t="s">
        <v>150</v>
      </c>
      <c r="J9" s="95" t="s">
        <v>151</v>
      </c>
      <c r="K9" s="95" t="s">
        <v>152</v>
      </c>
      <c r="L9" s="95" t="s">
        <v>153</v>
      </c>
      <c r="M9" s="95" t="s">
        <v>154</v>
      </c>
      <c r="N9" s="95" t="s">
        <v>155</v>
      </c>
      <c r="O9" s="95" t="s">
        <v>156</v>
      </c>
      <c r="P9" s="95" t="s">
        <v>157</v>
      </c>
      <c r="Q9" s="95" t="s">
        <v>158</v>
      </c>
      <c r="R9" s="13" t="e">
        <f>AVERAGE(H9:Q9)</f>
        <v>#DIV/0!</v>
      </c>
      <c r="S9" s="13">
        <f>MAX(H9:Q9)</f>
        <v>0</v>
      </c>
      <c r="T9" s="13">
        <f>MIN(H9:Q9)</f>
        <v>0</v>
      </c>
      <c r="U9" s="64" t="str">
        <f>IF(SUM(H9:Q9)&gt;0,IF(OR(MIN(H9:Q9)&lt;G9,MAX(H9:Q9)&gt;F9),"NG","G"),"")</f>
        <v/>
      </c>
      <c r="V9" s="15" t="s">
        <v>190</v>
      </c>
    </row>
    <row r="10" spans="1:27" ht="19.5" customHeight="1">
      <c r="A10" s="96"/>
      <c r="B10" s="162" t="s">
        <v>129</v>
      </c>
      <c r="C10" s="65" t="s">
        <v>130</v>
      </c>
      <c r="D10" s="165" t="s">
        <v>131</v>
      </c>
      <c r="E10" s="165" t="s">
        <v>387</v>
      </c>
      <c r="F10" s="66" t="s">
        <v>132</v>
      </c>
      <c r="G10" s="66" t="s">
        <v>330</v>
      </c>
      <c r="H10" s="97" t="s">
        <v>159</v>
      </c>
      <c r="I10" s="97" t="s">
        <v>100</v>
      </c>
      <c r="J10" s="97" t="s">
        <v>102</v>
      </c>
      <c r="K10" s="97" t="s">
        <v>160</v>
      </c>
      <c r="L10" s="97" t="s">
        <v>161</v>
      </c>
      <c r="M10" s="97" t="s">
        <v>162</v>
      </c>
      <c r="N10" s="97" t="s">
        <v>106</v>
      </c>
      <c r="O10" s="97" t="s">
        <v>107</v>
      </c>
      <c r="P10" s="97" t="s">
        <v>163</v>
      </c>
      <c r="Q10" s="97" t="s">
        <v>108</v>
      </c>
      <c r="R10" s="13" t="e">
        <f t="shared" ref="R10:R18" si="0">AVERAGE(H10:Q10)</f>
        <v>#DIV/0!</v>
      </c>
      <c r="S10" s="13">
        <f t="shared" ref="S10:S18" si="1">MAX(H10:Q10)</f>
        <v>0</v>
      </c>
      <c r="T10" s="13">
        <f t="shared" ref="T10:T18" si="2">MIN(H10:Q10)</f>
        <v>0</v>
      </c>
      <c r="U10" s="64" t="str">
        <f>IF(SUM(H10:Q10)&gt;0,IF(OR(MIN(H10:Q10)&lt;G10,MAX(H10:Q10)&gt;F10),"NG","G"),"")</f>
        <v/>
      </c>
      <c r="V10" s="14" t="s">
        <v>191</v>
      </c>
    </row>
    <row r="11" spans="1:27" ht="19.5" customHeight="1">
      <c r="A11" s="96"/>
      <c r="B11" s="163" t="s">
        <v>137</v>
      </c>
      <c r="C11" s="67" t="s">
        <v>133</v>
      </c>
      <c r="D11" s="98" t="s">
        <v>134</v>
      </c>
      <c r="E11" s="98" t="s">
        <v>388</v>
      </c>
      <c r="F11" s="69" t="s">
        <v>135</v>
      </c>
      <c r="G11" s="69" t="s">
        <v>331</v>
      </c>
      <c r="H11" s="99" t="s">
        <v>164</v>
      </c>
      <c r="I11" s="99" t="s">
        <v>109</v>
      </c>
      <c r="J11" s="99" t="s">
        <v>110</v>
      </c>
      <c r="K11" s="99" t="s">
        <v>111</v>
      </c>
      <c r="L11" s="99" t="s">
        <v>112</v>
      </c>
      <c r="M11" s="99" t="s">
        <v>165</v>
      </c>
      <c r="N11" s="99" t="s">
        <v>166</v>
      </c>
      <c r="O11" s="99" t="s">
        <v>167</v>
      </c>
      <c r="P11" s="99" t="s">
        <v>168</v>
      </c>
      <c r="Q11" s="99" t="s">
        <v>169</v>
      </c>
      <c r="R11" s="64" t="e">
        <f t="shared" si="0"/>
        <v>#DIV/0!</v>
      </c>
      <c r="S11" s="64">
        <f t="shared" si="1"/>
        <v>0</v>
      </c>
      <c r="T11" s="64">
        <f t="shared" si="2"/>
        <v>0</v>
      </c>
      <c r="U11" s="64" t="str">
        <f>IF(SUM(H11:Q11)&gt;0,IF(OR(MIN(H11:Q11)&lt;G11,MAX(H11:Q11)&gt;F11),"NG","G"),"")</f>
        <v/>
      </c>
      <c r="V11" s="14" t="s">
        <v>192</v>
      </c>
    </row>
    <row r="12" spans="1:27" ht="25.5" customHeight="1">
      <c r="A12" s="96"/>
      <c r="B12" s="162" t="s">
        <v>136</v>
      </c>
      <c r="C12" s="67" t="s">
        <v>138</v>
      </c>
      <c r="D12" s="165" t="s">
        <v>139</v>
      </c>
      <c r="E12" s="165" t="s">
        <v>389</v>
      </c>
      <c r="F12" s="100" t="s">
        <v>140</v>
      </c>
      <c r="G12" s="100" t="s">
        <v>332</v>
      </c>
      <c r="H12" s="101" t="s">
        <v>170</v>
      </c>
      <c r="I12" s="101" t="s">
        <v>171</v>
      </c>
      <c r="J12" s="101" t="s">
        <v>172</v>
      </c>
      <c r="K12" s="101" t="s">
        <v>173</v>
      </c>
      <c r="L12" s="101" t="s">
        <v>174</v>
      </c>
      <c r="M12" s="101" t="s">
        <v>175</v>
      </c>
      <c r="N12" s="101" t="s">
        <v>113</v>
      </c>
      <c r="O12" s="101" t="s">
        <v>114</v>
      </c>
      <c r="P12" s="101" t="s">
        <v>115</v>
      </c>
      <c r="Q12" s="101" t="s">
        <v>116</v>
      </c>
      <c r="R12" s="102" t="e">
        <f t="shared" si="0"/>
        <v>#DIV/0!</v>
      </c>
      <c r="S12" s="102">
        <f t="shared" si="1"/>
        <v>0</v>
      </c>
      <c r="T12" s="102">
        <f t="shared" si="2"/>
        <v>0</v>
      </c>
      <c r="U12" s="64" t="str">
        <f>IF(SUM(H12:Q12)&gt;0,IF(OR(MIN(H12:Q12)&lt;G12,MAX(H12:Q12)&gt;F12),"NG","G"),"")</f>
        <v/>
      </c>
      <c r="V12" s="14" t="s">
        <v>193</v>
      </c>
    </row>
    <row r="13" spans="1:27" ht="19.5" customHeight="1">
      <c r="A13" s="103" t="s">
        <v>372</v>
      </c>
      <c r="B13" s="162" t="s">
        <v>141</v>
      </c>
      <c r="C13" s="14" t="s">
        <v>142</v>
      </c>
      <c r="D13" s="104" t="s">
        <v>143</v>
      </c>
      <c r="E13" s="104" t="s">
        <v>390</v>
      </c>
      <c r="F13" s="69" t="s">
        <v>144</v>
      </c>
      <c r="G13" s="105" t="s">
        <v>333</v>
      </c>
      <c r="H13" s="99" t="s">
        <v>176</v>
      </c>
      <c r="I13" s="99" t="s">
        <v>117</v>
      </c>
      <c r="J13" s="99" t="s">
        <v>118</v>
      </c>
      <c r="K13" s="99" t="s">
        <v>119</v>
      </c>
      <c r="L13" s="99" t="s">
        <v>120</v>
      </c>
      <c r="M13" s="99" t="s">
        <v>177</v>
      </c>
      <c r="N13" s="99" t="s">
        <v>178</v>
      </c>
      <c r="O13" s="99" t="s">
        <v>179</v>
      </c>
      <c r="P13" s="99" t="s">
        <v>180</v>
      </c>
      <c r="Q13" s="99" t="s">
        <v>181</v>
      </c>
      <c r="R13" s="64" t="e">
        <f t="shared" si="0"/>
        <v>#DIV/0!</v>
      </c>
      <c r="S13" s="64">
        <f t="shared" si="1"/>
        <v>0</v>
      </c>
      <c r="T13" s="64">
        <f t="shared" si="2"/>
        <v>0</v>
      </c>
      <c r="U13" s="64" t="str">
        <f>IF(SUM(H13:Q13)&gt;0,IF(MAX(H13:Q13)&gt;F13,"NG","G"),"")</f>
        <v/>
      </c>
      <c r="V13" s="14" t="s">
        <v>194</v>
      </c>
      <c r="Z13" s="106"/>
    </row>
    <row r="14" spans="1:27" ht="19.5" customHeight="1">
      <c r="A14" s="96" t="s">
        <v>373</v>
      </c>
      <c r="B14" s="162" t="s">
        <v>145</v>
      </c>
      <c r="C14" s="14" t="s">
        <v>146</v>
      </c>
      <c r="D14" s="104" t="s">
        <v>147</v>
      </c>
      <c r="E14" s="104" t="s">
        <v>391</v>
      </c>
      <c r="F14" s="69" t="s">
        <v>148</v>
      </c>
      <c r="G14" s="105" t="s">
        <v>334</v>
      </c>
      <c r="H14" s="99" t="s">
        <v>182</v>
      </c>
      <c r="I14" s="99" t="s">
        <v>183</v>
      </c>
      <c r="J14" s="99" t="s">
        <v>184</v>
      </c>
      <c r="K14" s="99" t="s">
        <v>185</v>
      </c>
      <c r="L14" s="99" t="s">
        <v>186</v>
      </c>
      <c r="M14" s="99" t="s">
        <v>187</v>
      </c>
      <c r="N14" s="99" t="s">
        <v>121</v>
      </c>
      <c r="O14" s="99" t="s">
        <v>122</v>
      </c>
      <c r="P14" s="99" t="s">
        <v>123</v>
      </c>
      <c r="Q14" s="99" t="s">
        <v>124</v>
      </c>
      <c r="R14" s="64" t="e">
        <f t="shared" si="0"/>
        <v>#DIV/0!</v>
      </c>
      <c r="S14" s="64">
        <f t="shared" si="1"/>
        <v>0</v>
      </c>
      <c r="T14" s="64">
        <f t="shared" si="2"/>
        <v>0</v>
      </c>
      <c r="U14" s="64" t="str">
        <f>IF(SUM(H14:Q14)&gt;0,IF(MAX(H14:Q14)&gt;F14,"NG","G"),"")</f>
        <v/>
      </c>
      <c r="V14" s="14" t="s">
        <v>195</v>
      </c>
    </row>
    <row r="15" spans="1:27" ht="19.5" customHeight="1">
      <c r="A15" s="93" t="s">
        <v>374</v>
      </c>
      <c r="B15" s="159" t="s">
        <v>463</v>
      </c>
      <c r="C15" s="14" t="s">
        <v>396</v>
      </c>
      <c r="D15" s="104" t="s">
        <v>397</v>
      </c>
      <c r="E15" s="104" t="s">
        <v>398</v>
      </c>
      <c r="F15" s="105" t="s">
        <v>399</v>
      </c>
      <c r="G15" s="105" t="s">
        <v>400</v>
      </c>
      <c r="H15" s="107" t="s">
        <v>423</v>
      </c>
      <c r="I15" s="107" t="s">
        <v>424</v>
      </c>
      <c r="J15" s="107" t="s">
        <v>425</v>
      </c>
      <c r="K15" s="107" t="s">
        <v>426</v>
      </c>
      <c r="L15" s="107" t="s">
        <v>427</v>
      </c>
      <c r="M15" s="107" t="s">
        <v>428</v>
      </c>
      <c r="N15" s="107" t="s">
        <v>429</v>
      </c>
      <c r="O15" s="107" t="s">
        <v>430</v>
      </c>
      <c r="P15" s="107" t="s">
        <v>431</v>
      </c>
      <c r="Q15" s="107" t="s">
        <v>432</v>
      </c>
      <c r="R15" s="102" t="e">
        <f t="shared" si="0"/>
        <v>#DIV/0!</v>
      </c>
      <c r="S15" s="102">
        <f t="shared" si="1"/>
        <v>0</v>
      </c>
      <c r="T15" s="102">
        <f t="shared" si="2"/>
        <v>0</v>
      </c>
      <c r="U15" s="64" t="str">
        <f>IF(SUM(H15:Q15)&gt;0,IF(OR(MIN(H15:Q15)&lt;G15,MAX(H15:Q15)&gt;F15),"NG","G"),"")</f>
        <v/>
      </c>
      <c r="V15" s="14" t="s">
        <v>401</v>
      </c>
      <c r="X15" s="108"/>
      <c r="Y15" s="109"/>
      <c r="Z15" s="109"/>
      <c r="AA15" s="109"/>
    </row>
    <row r="16" spans="1:27" ht="19.5" customHeight="1">
      <c r="A16" s="96"/>
      <c r="B16" s="159" t="s">
        <v>402</v>
      </c>
      <c r="C16" s="14" t="s">
        <v>403</v>
      </c>
      <c r="D16" s="104" t="s">
        <v>404</v>
      </c>
      <c r="E16" s="104" t="s">
        <v>405</v>
      </c>
      <c r="F16" s="105" t="s">
        <v>406</v>
      </c>
      <c r="G16" s="105" t="s">
        <v>407</v>
      </c>
      <c r="H16" s="107" t="s">
        <v>433</v>
      </c>
      <c r="I16" s="107" t="s">
        <v>434</v>
      </c>
      <c r="J16" s="107" t="s">
        <v>435</v>
      </c>
      <c r="K16" s="107" t="s">
        <v>436</v>
      </c>
      <c r="L16" s="107" t="s">
        <v>437</v>
      </c>
      <c r="M16" s="107" t="s">
        <v>438</v>
      </c>
      <c r="N16" s="107" t="s">
        <v>439</v>
      </c>
      <c r="O16" s="107" t="s">
        <v>440</v>
      </c>
      <c r="P16" s="107" t="s">
        <v>441</v>
      </c>
      <c r="Q16" s="107" t="s">
        <v>442</v>
      </c>
      <c r="R16" s="102" t="e">
        <f t="shared" si="0"/>
        <v>#DIV/0!</v>
      </c>
      <c r="S16" s="102">
        <f t="shared" si="1"/>
        <v>0</v>
      </c>
      <c r="T16" s="102">
        <f t="shared" si="2"/>
        <v>0</v>
      </c>
      <c r="U16" s="64" t="str">
        <f>IF(SUM(H16:Q16)&gt;0,IF(OR(MIN(H16:Q16)&lt;G16,MAX(H16:Q16)&gt;F16),"NG","G"),"")</f>
        <v/>
      </c>
      <c r="V16" s="14" t="s">
        <v>408</v>
      </c>
      <c r="X16" s="78"/>
      <c r="Y16" s="78"/>
      <c r="Z16" s="78"/>
      <c r="AA16" s="78"/>
    </row>
    <row r="17" spans="1:27" ht="19.5" customHeight="1">
      <c r="A17" s="96"/>
      <c r="B17" s="159" t="s">
        <v>409</v>
      </c>
      <c r="C17" s="67" t="s">
        <v>410</v>
      </c>
      <c r="D17" s="68" t="s">
        <v>411</v>
      </c>
      <c r="E17" s="68" t="s">
        <v>412</v>
      </c>
      <c r="F17" s="69" t="s">
        <v>413</v>
      </c>
      <c r="G17" s="69" t="s">
        <v>414</v>
      </c>
      <c r="H17" s="99" t="s">
        <v>443</v>
      </c>
      <c r="I17" s="99" t="s">
        <v>444</v>
      </c>
      <c r="J17" s="99" t="s">
        <v>445</v>
      </c>
      <c r="K17" s="99" t="s">
        <v>446</v>
      </c>
      <c r="L17" s="99" t="s">
        <v>447</v>
      </c>
      <c r="M17" s="99" t="s">
        <v>448</v>
      </c>
      <c r="N17" s="99" t="s">
        <v>449</v>
      </c>
      <c r="O17" s="99" t="s">
        <v>450</v>
      </c>
      <c r="P17" s="99" t="s">
        <v>451</v>
      </c>
      <c r="Q17" s="99" t="s">
        <v>452</v>
      </c>
      <c r="R17" s="64" t="e">
        <f t="shared" si="0"/>
        <v>#DIV/0!</v>
      </c>
      <c r="S17" s="64">
        <f t="shared" si="1"/>
        <v>0</v>
      </c>
      <c r="T17" s="64">
        <f t="shared" si="2"/>
        <v>0</v>
      </c>
      <c r="U17" s="64" t="str">
        <f>IF(SUM(H17:Q17)&gt;0,IF(OR(MIN(H17:Q17)&lt;G17,MAX(H17:Q17)&gt;F17),"NG","G"),"")</f>
        <v/>
      </c>
      <c r="V17" s="14" t="s">
        <v>415</v>
      </c>
      <c r="X17" s="108"/>
      <c r="Y17" s="109"/>
      <c r="Z17" s="109"/>
      <c r="AA17" s="109"/>
    </row>
    <row r="18" spans="1:27" ht="19.5" customHeight="1">
      <c r="A18" s="96"/>
      <c r="B18" s="159" t="s">
        <v>416</v>
      </c>
      <c r="C18" s="67" t="s">
        <v>417</v>
      </c>
      <c r="D18" s="68" t="s">
        <v>418</v>
      </c>
      <c r="E18" s="68" t="s">
        <v>419</v>
      </c>
      <c r="F18" s="69" t="s">
        <v>420</v>
      </c>
      <c r="G18" s="69" t="s">
        <v>421</v>
      </c>
      <c r="H18" s="99" t="s">
        <v>453</v>
      </c>
      <c r="I18" s="99" t="s">
        <v>454</v>
      </c>
      <c r="J18" s="99" t="s">
        <v>455</v>
      </c>
      <c r="K18" s="99" t="s">
        <v>456</v>
      </c>
      <c r="L18" s="99" t="s">
        <v>457</v>
      </c>
      <c r="M18" s="99" t="s">
        <v>458</v>
      </c>
      <c r="N18" s="99" t="s">
        <v>459</v>
      </c>
      <c r="O18" s="99" t="s">
        <v>460</v>
      </c>
      <c r="P18" s="99" t="s">
        <v>461</v>
      </c>
      <c r="Q18" s="99" t="s">
        <v>462</v>
      </c>
      <c r="R18" s="64" t="e">
        <f t="shared" si="0"/>
        <v>#DIV/0!</v>
      </c>
      <c r="S18" s="64">
        <f t="shared" si="1"/>
        <v>0</v>
      </c>
      <c r="T18" s="64">
        <f t="shared" si="2"/>
        <v>0</v>
      </c>
      <c r="U18" s="64" t="str">
        <f>IF(SUM(H18:Q18)&gt;0,IF(OR(MIN(H18:Q18)&lt;G18,MAX(H18:Q18)&gt;F18),"NG","G"),"")</f>
        <v/>
      </c>
      <c r="V18" s="14" t="s">
        <v>422</v>
      </c>
    </row>
    <row r="19" spans="1:27" ht="23.25" customHeight="1">
      <c r="A19" s="184" t="s">
        <v>89</v>
      </c>
      <c r="B19" s="70" t="s">
        <v>338</v>
      </c>
      <c r="C19" s="110"/>
      <c r="D19" s="19"/>
      <c r="E19" s="19"/>
      <c r="F19" s="20"/>
      <c r="G19" s="21"/>
      <c r="H19" s="17" t="s">
        <v>212</v>
      </c>
      <c r="I19" s="17" t="s">
        <v>213</v>
      </c>
      <c r="J19" s="17" t="s">
        <v>214</v>
      </c>
      <c r="K19" s="17" t="s">
        <v>215</v>
      </c>
      <c r="L19" s="17" t="s">
        <v>216</v>
      </c>
      <c r="M19" s="17" t="s">
        <v>217</v>
      </c>
      <c r="N19" s="17" t="s">
        <v>218</v>
      </c>
      <c r="O19" s="17" t="s">
        <v>219</v>
      </c>
      <c r="P19" s="17" t="s">
        <v>220</v>
      </c>
      <c r="Q19" s="17" t="s">
        <v>221</v>
      </c>
      <c r="R19" s="111"/>
      <c r="S19" s="22"/>
      <c r="T19" s="22"/>
      <c r="U19" s="64" t="str">
        <f>IF(AND(H19="",I19="",J19="",K19="",L19="",M19="",N19="",O19="",P19="",Q19=""),"",IF(AND(H19="G",I19="G",J19="G",K19="G",L19="G",M19="G",N19="G",O19="G",P19="G",Q19="G"),"G","NG"))</f>
        <v>NG</v>
      </c>
      <c r="V19" s="22"/>
    </row>
    <row r="20" spans="1:27" ht="23.25" customHeight="1">
      <c r="A20" s="184"/>
      <c r="B20" s="112" t="s">
        <v>339</v>
      </c>
      <c r="C20" s="110"/>
      <c r="D20" s="19"/>
      <c r="E20" s="19"/>
      <c r="F20" s="20"/>
      <c r="G20" s="21"/>
      <c r="H20" s="17" t="s">
        <v>222</v>
      </c>
      <c r="I20" s="17" t="s">
        <v>223</v>
      </c>
      <c r="J20" s="17" t="s">
        <v>224</v>
      </c>
      <c r="K20" s="17" t="s">
        <v>225</v>
      </c>
      <c r="L20" s="17" t="s">
        <v>226</v>
      </c>
      <c r="M20" s="17" t="s">
        <v>227</v>
      </c>
      <c r="N20" s="17" t="s">
        <v>228</v>
      </c>
      <c r="O20" s="17" t="s">
        <v>229</v>
      </c>
      <c r="P20" s="17" t="s">
        <v>230</v>
      </c>
      <c r="Q20" s="17" t="s">
        <v>231</v>
      </c>
      <c r="R20" s="111"/>
      <c r="S20" s="22"/>
      <c r="T20" s="22"/>
      <c r="U20" s="64" t="str">
        <f>IF(AND(H20="",I20="",J20="",K20="",L20="",M20="",N20="",O20="",P20="",Q20=""),"",IF(AND(H20="G",I20="G",J20="G",K20="G",L20="G",M20="G",N20="G",O20="G",P20="G",Q20="G"),"G","NG"))</f>
        <v>NG</v>
      </c>
      <c r="V20" s="22"/>
    </row>
    <row r="21" spans="1:27" ht="23.25" customHeight="1">
      <c r="A21" s="184"/>
      <c r="B21" s="112" t="s">
        <v>340</v>
      </c>
      <c r="C21" s="110"/>
      <c r="D21" s="19"/>
      <c r="E21" s="19"/>
      <c r="F21" s="20"/>
      <c r="G21" s="21"/>
      <c r="H21" s="17" t="s">
        <v>232</v>
      </c>
      <c r="I21" s="17" t="s">
        <v>233</v>
      </c>
      <c r="J21" s="17" t="s">
        <v>234</v>
      </c>
      <c r="K21" s="17" t="s">
        <v>235</v>
      </c>
      <c r="L21" s="17" t="s">
        <v>236</v>
      </c>
      <c r="M21" s="17" t="s">
        <v>237</v>
      </c>
      <c r="N21" s="17" t="s">
        <v>238</v>
      </c>
      <c r="O21" s="17" t="s">
        <v>239</v>
      </c>
      <c r="P21" s="17" t="s">
        <v>240</v>
      </c>
      <c r="Q21" s="17" t="s">
        <v>241</v>
      </c>
      <c r="R21" s="111"/>
      <c r="S21" s="22"/>
      <c r="T21" s="22"/>
      <c r="U21" s="64" t="str">
        <f t="shared" ref="U21:U29" si="3">IF(AND(H21="",I21="",J21="",K21="",L21="",M21="",N21="",O21="",P21="",Q21=""),"",IF(AND(H21="G",I21="G",J21="G",K21="G",L21="G",M21="G",N21="G",O21="G",P21="G",Q21="G"),"G","NG"))</f>
        <v>NG</v>
      </c>
      <c r="V21" s="22"/>
    </row>
    <row r="22" spans="1:27" ht="23.25" customHeight="1">
      <c r="A22" s="184"/>
      <c r="B22" s="70" t="s">
        <v>341</v>
      </c>
      <c r="C22" s="23"/>
      <c r="D22" s="16"/>
      <c r="E22" s="16"/>
      <c r="F22" s="24"/>
      <c r="G22" s="25"/>
      <c r="H22" s="17" t="s">
        <v>242</v>
      </c>
      <c r="I22" s="17" t="s">
        <v>243</v>
      </c>
      <c r="J22" s="17" t="s">
        <v>244</v>
      </c>
      <c r="K22" s="17" t="s">
        <v>245</v>
      </c>
      <c r="L22" s="17" t="s">
        <v>246</v>
      </c>
      <c r="M22" s="17" t="s">
        <v>247</v>
      </c>
      <c r="N22" s="17" t="s">
        <v>248</v>
      </c>
      <c r="O22" s="17" t="s">
        <v>249</v>
      </c>
      <c r="P22" s="17" t="s">
        <v>250</v>
      </c>
      <c r="Q22" s="17" t="s">
        <v>251</v>
      </c>
      <c r="R22" s="111"/>
      <c r="S22" s="18"/>
      <c r="T22" s="18"/>
      <c r="U22" s="64" t="str">
        <f t="shared" si="3"/>
        <v>NG</v>
      </c>
      <c r="V22" s="18"/>
    </row>
    <row r="23" spans="1:27" ht="23.25" customHeight="1">
      <c r="A23" s="184"/>
      <c r="B23" s="70" t="s">
        <v>342</v>
      </c>
      <c r="C23" s="23"/>
      <c r="D23" s="16"/>
      <c r="E23" s="113"/>
      <c r="F23" s="78"/>
      <c r="G23" s="25"/>
      <c r="H23" s="17" t="s">
        <v>252</v>
      </c>
      <c r="I23" s="17" t="s">
        <v>253</v>
      </c>
      <c r="J23" s="17" t="s">
        <v>254</v>
      </c>
      <c r="K23" s="17" t="s">
        <v>255</v>
      </c>
      <c r="L23" s="17" t="s">
        <v>256</v>
      </c>
      <c r="M23" s="17" t="s">
        <v>257</v>
      </c>
      <c r="N23" s="17" t="s">
        <v>258</v>
      </c>
      <c r="O23" s="17" t="s">
        <v>259</v>
      </c>
      <c r="P23" s="17" t="s">
        <v>260</v>
      </c>
      <c r="Q23" s="17" t="s">
        <v>261</v>
      </c>
      <c r="R23" s="111"/>
      <c r="S23" s="18"/>
      <c r="T23" s="18"/>
      <c r="U23" s="64" t="str">
        <f t="shared" si="3"/>
        <v>NG</v>
      </c>
      <c r="V23" s="18"/>
    </row>
    <row r="24" spans="1:27" ht="23.25" customHeight="1">
      <c r="A24" s="184"/>
      <c r="B24" s="70" t="s">
        <v>343</v>
      </c>
      <c r="C24" s="23"/>
      <c r="D24" s="16"/>
      <c r="E24" s="16"/>
      <c r="F24" s="24"/>
      <c r="G24" s="25"/>
      <c r="H24" s="17" t="s">
        <v>262</v>
      </c>
      <c r="I24" s="17" t="s">
        <v>263</v>
      </c>
      <c r="J24" s="17" t="s">
        <v>264</v>
      </c>
      <c r="K24" s="17" t="s">
        <v>265</v>
      </c>
      <c r="L24" s="17" t="s">
        <v>266</v>
      </c>
      <c r="M24" s="17" t="s">
        <v>267</v>
      </c>
      <c r="N24" s="17" t="s">
        <v>268</v>
      </c>
      <c r="O24" s="17" t="s">
        <v>269</v>
      </c>
      <c r="P24" s="17" t="s">
        <v>270</v>
      </c>
      <c r="Q24" s="17" t="s">
        <v>271</v>
      </c>
      <c r="R24" s="111"/>
      <c r="S24" s="111"/>
      <c r="T24" s="111"/>
      <c r="U24" s="64" t="str">
        <f t="shared" si="3"/>
        <v>NG</v>
      </c>
      <c r="V24" s="111"/>
    </row>
    <row r="25" spans="1:27" ht="23.25" customHeight="1">
      <c r="A25" s="184"/>
      <c r="B25" s="70" t="s">
        <v>344</v>
      </c>
      <c r="C25" s="23"/>
      <c r="D25" s="16"/>
      <c r="E25" s="16"/>
      <c r="F25" s="24"/>
      <c r="G25" s="25"/>
      <c r="H25" s="17" t="s">
        <v>272</v>
      </c>
      <c r="I25" s="17" t="s">
        <v>273</v>
      </c>
      <c r="J25" s="17" t="s">
        <v>274</v>
      </c>
      <c r="K25" s="17" t="s">
        <v>275</v>
      </c>
      <c r="L25" s="17" t="s">
        <v>276</v>
      </c>
      <c r="M25" s="17" t="s">
        <v>277</v>
      </c>
      <c r="N25" s="17" t="s">
        <v>278</v>
      </c>
      <c r="O25" s="17" t="s">
        <v>279</v>
      </c>
      <c r="P25" s="17" t="s">
        <v>280</v>
      </c>
      <c r="Q25" s="17" t="s">
        <v>281</v>
      </c>
      <c r="R25" s="111"/>
      <c r="S25" s="18"/>
      <c r="T25" s="18"/>
      <c r="U25" s="64" t="str">
        <f t="shared" si="3"/>
        <v>NG</v>
      </c>
      <c r="V25" s="18"/>
    </row>
    <row r="26" spans="1:27" ht="23.25" customHeight="1">
      <c r="A26" s="184"/>
      <c r="B26" s="70" t="s">
        <v>345</v>
      </c>
      <c r="C26" s="23"/>
      <c r="D26" s="16"/>
      <c r="E26" s="16"/>
      <c r="F26" s="24"/>
      <c r="G26" s="25"/>
      <c r="H26" s="17" t="s">
        <v>282</v>
      </c>
      <c r="I26" s="17" t="s">
        <v>283</v>
      </c>
      <c r="J26" s="17" t="s">
        <v>284</v>
      </c>
      <c r="K26" s="17" t="s">
        <v>285</v>
      </c>
      <c r="L26" s="17" t="s">
        <v>286</v>
      </c>
      <c r="M26" s="17" t="s">
        <v>287</v>
      </c>
      <c r="N26" s="17" t="s">
        <v>288</v>
      </c>
      <c r="O26" s="17" t="s">
        <v>289</v>
      </c>
      <c r="P26" s="17" t="s">
        <v>290</v>
      </c>
      <c r="Q26" s="17" t="s">
        <v>291</v>
      </c>
      <c r="R26" s="111"/>
      <c r="S26" s="18"/>
      <c r="T26" s="18"/>
      <c r="U26" s="64" t="str">
        <f t="shared" si="3"/>
        <v>NG</v>
      </c>
      <c r="V26" s="18"/>
    </row>
    <row r="27" spans="1:27" ht="23.25" customHeight="1">
      <c r="A27" s="184"/>
      <c r="B27" s="71" t="s">
        <v>346</v>
      </c>
      <c r="C27" s="110"/>
      <c r="D27" s="16"/>
      <c r="E27" s="16"/>
      <c r="F27" s="24"/>
      <c r="G27" s="25"/>
      <c r="H27" s="17" t="s">
        <v>292</v>
      </c>
      <c r="I27" s="17" t="s">
        <v>293</v>
      </c>
      <c r="J27" s="17" t="s">
        <v>294</v>
      </c>
      <c r="K27" s="17" t="s">
        <v>295</v>
      </c>
      <c r="L27" s="17" t="s">
        <v>296</v>
      </c>
      <c r="M27" s="17" t="s">
        <v>297</v>
      </c>
      <c r="N27" s="17" t="s">
        <v>298</v>
      </c>
      <c r="O27" s="17" t="s">
        <v>299</v>
      </c>
      <c r="P27" s="17" t="s">
        <v>300</v>
      </c>
      <c r="Q27" s="17" t="s">
        <v>301</v>
      </c>
      <c r="R27" s="111"/>
      <c r="S27" s="18"/>
      <c r="T27" s="18"/>
      <c r="U27" s="64" t="str">
        <f t="shared" si="3"/>
        <v>NG</v>
      </c>
      <c r="V27" s="18"/>
    </row>
    <row r="28" spans="1:27" ht="23.25" customHeight="1">
      <c r="A28" s="184"/>
      <c r="B28" s="112" t="s">
        <v>347</v>
      </c>
      <c r="C28" s="110"/>
      <c r="D28" s="16"/>
      <c r="E28" s="16"/>
      <c r="F28" s="24"/>
      <c r="G28" s="25"/>
      <c r="H28" s="17" t="s">
        <v>302</v>
      </c>
      <c r="I28" s="17" t="s">
        <v>303</v>
      </c>
      <c r="J28" s="17" t="s">
        <v>304</v>
      </c>
      <c r="K28" s="17" t="s">
        <v>305</v>
      </c>
      <c r="L28" s="17" t="s">
        <v>306</v>
      </c>
      <c r="M28" s="17" t="s">
        <v>307</v>
      </c>
      <c r="N28" s="17" t="s">
        <v>308</v>
      </c>
      <c r="O28" s="17" t="s">
        <v>309</v>
      </c>
      <c r="P28" s="17" t="s">
        <v>310</v>
      </c>
      <c r="Q28" s="17" t="s">
        <v>311</v>
      </c>
      <c r="R28" s="111"/>
      <c r="S28" s="18"/>
      <c r="T28" s="18"/>
      <c r="U28" s="64" t="str">
        <f t="shared" si="3"/>
        <v>NG</v>
      </c>
      <c r="V28" s="18"/>
    </row>
    <row r="29" spans="1:27" ht="23.25" customHeight="1">
      <c r="A29" s="184"/>
      <c r="B29" s="185" t="s">
        <v>348</v>
      </c>
      <c r="C29" s="186"/>
      <c r="D29" s="186"/>
      <c r="E29" s="186"/>
      <c r="F29" s="186"/>
      <c r="G29" s="187"/>
      <c r="H29" s="17" t="s">
        <v>312</v>
      </c>
      <c r="I29" s="17" t="s">
        <v>313</v>
      </c>
      <c r="J29" s="17" t="s">
        <v>314</v>
      </c>
      <c r="K29" s="17" t="s">
        <v>315</v>
      </c>
      <c r="L29" s="17" t="s">
        <v>316</v>
      </c>
      <c r="M29" s="17" t="s">
        <v>317</v>
      </c>
      <c r="N29" s="17" t="s">
        <v>318</v>
      </c>
      <c r="O29" s="17" t="s">
        <v>319</v>
      </c>
      <c r="P29" s="17" t="s">
        <v>320</v>
      </c>
      <c r="Q29" s="17" t="s">
        <v>321</v>
      </c>
      <c r="R29" s="111"/>
      <c r="S29" s="18"/>
      <c r="T29" s="18"/>
      <c r="U29" s="64" t="str">
        <f t="shared" si="3"/>
        <v>NG</v>
      </c>
      <c r="V29" s="114"/>
    </row>
    <row r="30" spans="1:27" ht="19.5" customHeight="1" thickBot="1">
      <c r="A30" s="115" t="s">
        <v>88</v>
      </c>
      <c r="B30" s="26"/>
      <c r="C30" s="27"/>
      <c r="D30" s="28"/>
      <c r="E30" s="28"/>
      <c r="F30" s="28"/>
      <c r="G30" s="28"/>
      <c r="H30" s="29"/>
      <c r="I30" s="29"/>
      <c r="J30" s="29"/>
      <c r="K30" s="29"/>
      <c r="L30" s="29"/>
      <c r="M30" s="26"/>
      <c r="N30" s="26"/>
      <c r="O30" s="26"/>
      <c r="P30" s="78"/>
      <c r="Q30" s="29"/>
      <c r="R30" s="78"/>
      <c r="S30" s="29"/>
      <c r="T30" s="29"/>
      <c r="U30" s="28"/>
      <c r="V30" s="30"/>
    </row>
    <row r="31" spans="1:27" ht="19.5" customHeight="1" thickBot="1">
      <c r="A31" s="116"/>
      <c r="B31" s="117"/>
      <c r="C31" s="27"/>
      <c r="D31" s="28"/>
      <c r="E31" s="28"/>
      <c r="F31" s="28"/>
      <c r="G31" s="28"/>
      <c r="H31" s="29"/>
      <c r="I31" s="29"/>
      <c r="J31" s="29"/>
      <c r="K31" s="29"/>
      <c r="L31" s="29"/>
      <c r="M31" s="26"/>
      <c r="O31" s="188" t="s">
        <v>69</v>
      </c>
      <c r="P31" s="189"/>
      <c r="Q31" s="190"/>
      <c r="R31" s="191" t="s">
        <v>70</v>
      </c>
      <c r="S31" s="192"/>
      <c r="T31" s="193"/>
      <c r="U31" s="118" t="s">
        <v>65</v>
      </c>
      <c r="V31" s="30"/>
    </row>
    <row r="32" spans="1:27" ht="19.5" customHeight="1">
      <c r="A32" s="116"/>
      <c r="B32" s="26"/>
      <c r="C32" s="27"/>
      <c r="D32" s="28"/>
      <c r="E32" s="28"/>
      <c r="F32" s="28"/>
      <c r="G32" s="28"/>
      <c r="H32" s="29"/>
      <c r="I32" s="29"/>
      <c r="J32" s="29"/>
      <c r="K32" s="29"/>
      <c r="L32" s="29"/>
      <c r="M32" s="26"/>
      <c r="O32" s="172" t="s">
        <v>71</v>
      </c>
      <c r="P32" s="173"/>
      <c r="Q32" s="174"/>
      <c r="R32" s="119" t="s">
        <v>72</v>
      </c>
      <c r="S32" s="120"/>
      <c r="T32" s="121"/>
      <c r="U32" s="31" t="s">
        <v>336</v>
      </c>
      <c r="V32" s="30"/>
    </row>
    <row r="33" spans="1:23" ht="19.5" customHeight="1">
      <c r="A33" s="116"/>
      <c r="B33" s="26"/>
      <c r="C33" s="27"/>
      <c r="D33" s="28"/>
      <c r="E33" s="28"/>
      <c r="F33" s="28"/>
      <c r="G33" s="28"/>
      <c r="H33" s="29"/>
      <c r="I33" s="29"/>
      <c r="J33" s="29"/>
      <c r="K33" s="29"/>
      <c r="L33" s="29"/>
      <c r="M33" s="26"/>
      <c r="O33" s="194" t="s">
        <v>73</v>
      </c>
      <c r="P33" s="195"/>
      <c r="Q33" s="196"/>
      <c r="R33" s="122" t="s">
        <v>74</v>
      </c>
      <c r="S33" s="123"/>
      <c r="T33" s="124"/>
      <c r="U33" s="31" t="s">
        <v>336</v>
      </c>
      <c r="V33" s="30"/>
    </row>
    <row r="34" spans="1:23" ht="19.5" customHeight="1">
      <c r="A34" s="116"/>
      <c r="B34" s="26"/>
      <c r="C34" s="27"/>
      <c r="D34" s="28"/>
      <c r="E34" s="28"/>
      <c r="F34" s="28"/>
      <c r="G34" s="28"/>
      <c r="H34" s="29"/>
      <c r="I34" s="29"/>
      <c r="J34" s="29"/>
      <c r="K34" s="29"/>
      <c r="L34" s="29"/>
      <c r="M34" s="26"/>
      <c r="O34" s="197" t="s">
        <v>354</v>
      </c>
      <c r="P34" s="198"/>
      <c r="Q34" s="199"/>
      <c r="R34" s="122" t="s">
        <v>75</v>
      </c>
      <c r="S34" s="123"/>
      <c r="T34" s="124"/>
      <c r="U34" s="31" t="s">
        <v>336</v>
      </c>
      <c r="V34" s="30"/>
    </row>
    <row r="35" spans="1:23" ht="19.5" customHeight="1">
      <c r="A35" s="116"/>
      <c r="B35" s="26"/>
      <c r="C35" s="27"/>
      <c r="D35" s="28"/>
      <c r="E35" s="28"/>
      <c r="F35" s="28"/>
      <c r="G35" s="28"/>
      <c r="H35" s="29"/>
      <c r="I35" s="29"/>
      <c r="J35" s="29"/>
      <c r="K35" s="29"/>
      <c r="L35" s="29"/>
      <c r="M35" s="26"/>
      <c r="O35" s="200"/>
      <c r="P35" s="201"/>
      <c r="Q35" s="202"/>
      <c r="R35" s="122" t="s">
        <v>76</v>
      </c>
      <c r="S35" s="123"/>
      <c r="T35" s="124"/>
      <c r="U35" s="31" t="s">
        <v>336</v>
      </c>
      <c r="V35" s="30"/>
    </row>
    <row r="36" spans="1:23" ht="19.5" customHeight="1" thickBot="1">
      <c r="A36" s="116"/>
      <c r="B36" s="26"/>
      <c r="C36" s="27"/>
      <c r="D36" s="28"/>
      <c r="E36" s="28"/>
      <c r="F36" s="28"/>
      <c r="G36" s="28"/>
      <c r="H36" s="29"/>
      <c r="I36" s="29"/>
      <c r="J36" s="29"/>
      <c r="K36" s="29"/>
      <c r="L36" s="29"/>
      <c r="M36" s="26"/>
      <c r="O36" s="203"/>
      <c r="P36" s="204"/>
      <c r="Q36" s="205"/>
      <c r="R36" s="125" t="s">
        <v>77</v>
      </c>
      <c r="S36" s="126"/>
      <c r="T36" s="127"/>
      <c r="U36" s="164" t="s">
        <v>336</v>
      </c>
      <c r="V36" s="30"/>
    </row>
    <row r="37" spans="1:23" ht="19.5" customHeight="1" thickBot="1">
      <c r="A37" s="116"/>
      <c r="B37" s="26"/>
      <c r="C37" s="27"/>
      <c r="D37" s="28"/>
      <c r="E37" s="28"/>
      <c r="F37" s="28"/>
      <c r="G37" s="28"/>
      <c r="H37" s="29"/>
      <c r="I37" s="29"/>
      <c r="J37" s="29"/>
      <c r="K37" s="29"/>
      <c r="L37" s="29"/>
      <c r="M37" s="26"/>
      <c r="O37" s="128"/>
      <c r="P37" s="128"/>
      <c r="Q37" s="128"/>
      <c r="R37" s="129"/>
      <c r="S37" s="130"/>
      <c r="T37" s="113"/>
      <c r="U37" s="28"/>
      <c r="V37" s="30"/>
    </row>
    <row r="38" spans="1:23" ht="19.5" customHeight="1">
      <c r="A38" s="116"/>
      <c r="B38" s="26"/>
      <c r="C38" s="27"/>
      <c r="D38" s="28"/>
      <c r="E38" s="28"/>
      <c r="F38" s="28"/>
      <c r="G38" s="28"/>
      <c r="H38" s="29"/>
      <c r="I38" s="29"/>
      <c r="J38" s="29"/>
      <c r="K38" s="29"/>
      <c r="L38" s="29"/>
      <c r="M38" s="26"/>
      <c r="N38" s="26"/>
      <c r="O38" s="206" t="s">
        <v>78</v>
      </c>
      <c r="P38" s="207"/>
      <c r="Q38" s="208"/>
      <c r="R38" s="212"/>
      <c r="S38" s="213"/>
      <c r="T38" s="214"/>
      <c r="U38" s="28"/>
      <c r="V38" s="30"/>
    </row>
    <row r="39" spans="1:23" ht="19.5" customHeight="1" thickBot="1">
      <c r="A39" s="116"/>
      <c r="B39" s="26"/>
      <c r="C39" s="27"/>
      <c r="D39" s="28"/>
      <c r="E39" s="28"/>
      <c r="F39" s="28"/>
      <c r="G39" s="28"/>
      <c r="H39" s="29"/>
      <c r="I39" s="29"/>
      <c r="J39" s="29"/>
      <c r="K39" s="29"/>
      <c r="L39" s="29"/>
      <c r="M39" s="26"/>
      <c r="N39" s="26"/>
      <c r="O39" s="209"/>
      <c r="P39" s="210"/>
      <c r="Q39" s="211"/>
      <c r="R39" s="215"/>
      <c r="S39" s="216"/>
      <c r="T39" s="217"/>
      <c r="U39" s="28"/>
      <c r="V39" s="30"/>
    </row>
    <row r="40" spans="1:23" ht="7.5" customHeight="1" thickBot="1">
      <c r="A40" s="131"/>
      <c r="B40" s="32"/>
      <c r="C40" s="33"/>
      <c r="D40" s="34"/>
      <c r="E40" s="34"/>
      <c r="F40" s="34"/>
      <c r="G40" s="34"/>
      <c r="H40" s="35"/>
      <c r="I40" s="35"/>
      <c r="J40" s="35"/>
      <c r="K40" s="35"/>
      <c r="L40" s="35"/>
      <c r="M40" s="32"/>
      <c r="N40" s="32"/>
      <c r="O40" s="32"/>
      <c r="P40" s="132"/>
      <c r="Q40" s="35"/>
      <c r="R40" s="132"/>
      <c r="S40" s="35"/>
      <c r="T40" s="35"/>
      <c r="U40" s="34"/>
      <c r="V40" s="36"/>
    </row>
    <row r="41" spans="1:23" ht="8.25" customHeight="1" thickBot="1">
      <c r="A41" s="78"/>
      <c r="B41" s="26"/>
      <c r="C41" s="27"/>
      <c r="D41" s="28"/>
      <c r="E41" s="28"/>
      <c r="F41" s="28"/>
      <c r="G41" s="28"/>
      <c r="H41" s="29"/>
      <c r="I41" s="29"/>
      <c r="J41" s="29"/>
      <c r="K41" s="29"/>
      <c r="L41" s="29"/>
      <c r="M41" s="26"/>
      <c r="N41" s="26"/>
      <c r="O41" s="26"/>
      <c r="P41" s="78"/>
      <c r="Q41" s="29"/>
      <c r="R41" s="78"/>
      <c r="S41" s="29"/>
      <c r="T41" s="29"/>
      <c r="U41" s="28"/>
      <c r="V41" s="29"/>
    </row>
    <row r="42" spans="1:23" ht="12.75" customHeight="1">
      <c r="A42" s="218" t="s">
        <v>13</v>
      </c>
      <c r="B42" s="219"/>
      <c r="C42" s="224" t="str">
        <f>IF(AND(U36="",U35="",U34="",U33="",U32="",U29="",U28="",U27="",U26="",U25="",U24="",U23="",U22="",U21="",U20="",U19="",U18="",U17="",U16="",U15="",U14="",U13="",U12="",U11="",U10="",U9=""),"",IF(AND(U36="G",U35="G",U34="G",U33="G",U32="G",U29="G",U28="G",U27="G",U26="G",U25="G",U24="G",U23="G",U22="G",U21="G",U20="G",U19="G",U18="G",U17="G",U16="G",U15="G",U14="G",U13="G",U12="G",U11="G",U10="G",U9="G"),"G","NG"))</f>
        <v>NG</v>
      </c>
      <c r="D42" s="225"/>
      <c r="E42" s="225"/>
      <c r="F42" s="226"/>
      <c r="G42" s="233" t="s">
        <v>4</v>
      </c>
      <c r="H42" s="234"/>
      <c r="I42" s="235"/>
      <c r="J42" s="242" t="s">
        <v>98</v>
      </c>
      <c r="K42" s="243"/>
      <c r="L42" s="243"/>
      <c r="M42" s="243"/>
      <c r="N42" s="244"/>
      <c r="O42" s="248" t="s">
        <v>66</v>
      </c>
      <c r="P42" s="249"/>
      <c r="Q42" s="37" t="s">
        <v>68</v>
      </c>
      <c r="R42" s="133" t="s">
        <v>376</v>
      </c>
      <c r="S42" s="134"/>
      <c r="T42" s="134"/>
      <c r="U42" s="135"/>
      <c r="V42" s="136"/>
      <c r="W42" s="26"/>
    </row>
    <row r="43" spans="1:23" ht="12.75" customHeight="1">
      <c r="A43" s="220"/>
      <c r="B43" s="221"/>
      <c r="C43" s="227"/>
      <c r="D43" s="228"/>
      <c r="E43" s="228"/>
      <c r="F43" s="229"/>
      <c r="G43" s="236"/>
      <c r="H43" s="237"/>
      <c r="I43" s="238"/>
      <c r="J43" s="245"/>
      <c r="K43" s="246"/>
      <c r="L43" s="246"/>
      <c r="M43" s="246"/>
      <c r="N43" s="247"/>
      <c r="O43" s="250"/>
      <c r="P43" s="251"/>
      <c r="Q43" s="38" t="s">
        <v>377</v>
      </c>
      <c r="R43" s="137" t="s">
        <v>378</v>
      </c>
      <c r="S43" s="81"/>
      <c r="T43" s="81"/>
      <c r="U43" s="138"/>
      <c r="V43" s="39"/>
      <c r="W43" s="26"/>
    </row>
    <row r="44" spans="1:23" ht="12.75" customHeight="1">
      <c r="A44" s="220"/>
      <c r="B44" s="221"/>
      <c r="C44" s="227"/>
      <c r="D44" s="228"/>
      <c r="E44" s="228"/>
      <c r="F44" s="229"/>
      <c r="G44" s="236"/>
      <c r="H44" s="237"/>
      <c r="I44" s="238"/>
      <c r="J44" s="245"/>
      <c r="K44" s="246"/>
      <c r="L44" s="246"/>
      <c r="M44" s="246"/>
      <c r="N44" s="247"/>
      <c r="O44" s="250"/>
      <c r="P44" s="251"/>
      <c r="Q44" s="38" t="s">
        <v>79</v>
      </c>
      <c r="R44" s="137" t="s">
        <v>80</v>
      </c>
      <c r="S44" s="81"/>
      <c r="T44" s="81"/>
      <c r="U44" s="138"/>
      <c r="V44" s="39"/>
      <c r="W44" s="26"/>
    </row>
    <row r="45" spans="1:23" ht="12.75" customHeight="1">
      <c r="A45" s="220"/>
      <c r="B45" s="221"/>
      <c r="C45" s="227"/>
      <c r="D45" s="228"/>
      <c r="E45" s="228"/>
      <c r="F45" s="229"/>
      <c r="G45" s="236"/>
      <c r="H45" s="237"/>
      <c r="I45" s="238"/>
      <c r="J45" s="254" t="str">
        <f>CONCATENATE("*",J42,"*")</f>
        <v>*#8#*</v>
      </c>
      <c r="K45" s="255"/>
      <c r="L45" s="255"/>
      <c r="M45" s="255"/>
      <c r="N45" s="256"/>
      <c r="O45" s="250"/>
      <c r="P45" s="251"/>
      <c r="Q45" s="38" t="s">
        <v>81</v>
      </c>
      <c r="R45" s="137" t="s">
        <v>82</v>
      </c>
      <c r="S45" s="81"/>
      <c r="T45" s="81"/>
      <c r="U45" s="138"/>
      <c r="V45" s="39"/>
      <c r="W45" s="26"/>
    </row>
    <row r="46" spans="1:23" ht="12.75" customHeight="1">
      <c r="A46" s="220"/>
      <c r="B46" s="221"/>
      <c r="C46" s="227"/>
      <c r="D46" s="228"/>
      <c r="E46" s="228"/>
      <c r="F46" s="229"/>
      <c r="G46" s="236"/>
      <c r="H46" s="237"/>
      <c r="I46" s="238"/>
      <c r="J46" s="257"/>
      <c r="K46" s="255"/>
      <c r="L46" s="255"/>
      <c r="M46" s="255"/>
      <c r="N46" s="256"/>
      <c r="O46" s="250"/>
      <c r="P46" s="251"/>
      <c r="Q46" s="38" t="s">
        <v>83</v>
      </c>
      <c r="R46" s="81" t="s">
        <v>84</v>
      </c>
      <c r="S46" s="81"/>
      <c r="T46" s="81"/>
      <c r="U46" s="138"/>
      <c r="V46" s="39"/>
      <c r="W46" s="26"/>
    </row>
    <row r="47" spans="1:23" ht="12.75" customHeight="1">
      <c r="A47" s="220"/>
      <c r="B47" s="221"/>
      <c r="C47" s="227"/>
      <c r="D47" s="228"/>
      <c r="E47" s="228"/>
      <c r="F47" s="229"/>
      <c r="G47" s="236"/>
      <c r="H47" s="237"/>
      <c r="I47" s="238"/>
      <c r="J47" s="257"/>
      <c r="K47" s="255"/>
      <c r="L47" s="255"/>
      <c r="M47" s="255"/>
      <c r="N47" s="256"/>
      <c r="O47" s="250"/>
      <c r="P47" s="251"/>
      <c r="Q47" s="139" t="s">
        <v>379</v>
      </c>
      <c r="R47" s="140" t="s">
        <v>380</v>
      </c>
      <c r="S47" s="140"/>
      <c r="T47" s="140"/>
      <c r="U47" s="141"/>
      <c r="V47" s="142"/>
      <c r="W47" s="26"/>
    </row>
    <row r="48" spans="1:23" ht="12.75" customHeight="1">
      <c r="A48" s="220"/>
      <c r="B48" s="221"/>
      <c r="C48" s="227"/>
      <c r="D48" s="228"/>
      <c r="E48" s="228"/>
      <c r="F48" s="229"/>
      <c r="G48" s="236"/>
      <c r="H48" s="237"/>
      <c r="I48" s="238"/>
      <c r="J48" s="257"/>
      <c r="K48" s="255"/>
      <c r="L48" s="255"/>
      <c r="M48" s="255"/>
      <c r="N48" s="256"/>
      <c r="O48" s="250"/>
      <c r="P48" s="251"/>
      <c r="Q48" s="139" t="s">
        <v>375</v>
      </c>
      <c r="R48" s="140" t="s">
        <v>381</v>
      </c>
      <c r="S48" s="140"/>
      <c r="T48" s="140"/>
      <c r="U48" s="141"/>
      <c r="V48" s="142"/>
      <c r="W48" s="26"/>
    </row>
    <row r="49" spans="1:23" ht="12.75" customHeight="1" thickBot="1">
      <c r="A49" s="222"/>
      <c r="B49" s="223"/>
      <c r="C49" s="230"/>
      <c r="D49" s="231"/>
      <c r="E49" s="231"/>
      <c r="F49" s="232"/>
      <c r="G49" s="239"/>
      <c r="H49" s="240"/>
      <c r="I49" s="241"/>
      <c r="J49" s="258"/>
      <c r="K49" s="259"/>
      <c r="L49" s="259"/>
      <c r="M49" s="259"/>
      <c r="N49" s="260"/>
      <c r="O49" s="252"/>
      <c r="P49" s="253"/>
      <c r="Q49" s="72" t="s">
        <v>382</v>
      </c>
      <c r="R49" s="143" t="s">
        <v>383</v>
      </c>
      <c r="S49" s="144"/>
      <c r="T49" s="144"/>
      <c r="U49" s="145"/>
      <c r="V49" s="40"/>
      <c r="W49" s="26"/>
    </row>
    <row r="50" spans="1:23" ht="21.75">
      <c r="A50" s="146" t="s">
        <v>85</v>
      </c>
      <c r="B50" s="147"/>
      <c r="C50" s="148"/>
      <c r="D50" s="148"/>
      <c r="E50" s="148"/>
      <c r="F50" s="148"/>
      <c r="G50" s="14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148"/>
      <c r="V50" s="149"/>
    </row>
    <row r="51" spans="1:23" ht="12">
      <c r="A51" s="150"/>
      <c r="B51" s="78"/>
      <c r="C51" s="148"/>
      <c r="D51" s="148"/>
      <c r="E51" s="148"/>
      <c r="F51" s="148"/>
      <c r="G51" s="14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V51" s="149"/>
    </row>
    <row r="52" spans="1:23" ht="12">
      <c r="A52" s="116"/>
      <c r="B52" s="78"/>
      <c r="C52" s="148"/>
      <c r="D52" s="148"/>
      <c r="E52" s="148"/>
      <c r="F52" s="148"/>
      <c r="G52" s="14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V52" s="149"/>
    </row>
    <row r="53" spans="1:23" ht="12">
      <c r="A53" s="116"/>
      <c r="B53" s="78"/>
      <c r="C53" s="148"/>
      <c r="D53" s="148"/>
      <c r="E53" s="148"/>
      <c r="F53" s="148"/>
      <c r="G53" s="14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V53" s="149"/>
    </row>
    <row r="54" spans="1:23" ht="12">
      <c r="A54" s="116"/>
      <c r="B54" s="78"/>
      <c r="C54" s="148"/>
      <c r="D54" s="148"/>
      <c r="E54" s="148"/>
      <c r="F54" s="148"/>
      <c r="G54" s="14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V54" s="149"/>
    </row>
    <row r="55" spans="1:23" ht="12">
      <c r="A55" s="116"/>
      <c r="B55" s="78"/>
      <c r="C55" s="148"/>
      <c r="D55" s="148"/>
      <c r="E55" s="148"/>
      <c r="F55" s="148"/>
      <c r="G55" s="14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148"/>
      <c r="V55" s="149"/>
    </row>
    <row r="56" spans="1:23" ht="12">
      <c r="A56" s="116"/>
      <c r="B56" s="78"/>
      <c r="C56" s="148"/>
      <c r="D56" s="148"/>
      <c r="E56" s="148"/>
      <c r="F56" s="148"/>
      <c r="G56" s="14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148"/>
      <c r="V56" s="149"/>
    </row>
    <row r="57" spans="1:23" ht="12">
      <c r="A57" s="116"/>
      <c r="B57" s="78"/>
      <c r="C57" s="148"/>
      <c r="D57" s="148"/>
      <c r="E57" s="148"/>
      <c r="F57" s="148"/>
      <c r="G57" s="14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148"/>
      <c r="V57" s="149"/>
    </row>
    <row r="58" spans="1:23" ht="12">
      <c r="A58" s="116"/>
      <c r="B58" s="78"/>
      <c r="C58" s="148"/>
      <c r="D58" s="148"/>
      <c r="E58" s="148"/>
      <c r="F58" s="148"/>
      <c r="G58" s="14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148"/>
      <c r="V58" s="149"/>
    </row>
    <row r="59" spans="1:23" ht="12">
      <c r="A59" s="116"/>
      <c r="B59" s="78"/>
      <c r="C59" s="148"/>
      <c r="D59" s="148"/>
      <c r="E59" s="148"/>
      <c r="F59" s="148"/>
      <c r="G59" s="14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148"/>
      <c r="V59" s="149"/>
    </row>
    <row r="60" spans="1:23" ht="12">
      <c r="A60" s="116"/>
      <c r="B60" s="78"/>
      <c r="C60" s="148"/>
      <c r="D60" s="148"/>
      <c r="E60" s="148"/>
      <c r="F60" s="148"/>
      <c r="G60" s="14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148"/>
      <c r="V60" s="149"/>
    </row>
    <row r="61" spans="1:23" ht="12">
      <c r="A61" s="116"/>
      <c r="B61" s="78"/>
      <c r="C61" s="148"/>
      <c r="D61" s="148"/>
      <c r="E61" s="148"/>
      <c r="F61" s="148"/>
      <c r="G61" s="14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148"/>
      <c r="V61" s="149"/>
    </row>
    <row r="62" spans="1:23" ht="12">
      <c r="A62" s="116"/>
      <c r="B62" s="78"/>
      <c r="C62" s="148"/>
      <c r="D62" s="148"/>
      <c r="E62" s="148"/>
      <c r="F62" s="148"/>
      <c r="G62" s="14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148"/>
      <c r="V62" s="149"/>
    </row>
    <row r="63" spans="1:23" ht="12">
      <c r="A63" s="116"/>
      <c r="B63" s="78"/>
      <c r="C63" s="148"/>
      <c r="D63" s="148"/>
      <c r="E63" s="148"/>
      <c r="F63" s="148"/>
      <c r="G63" s="14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148"/>
      <c r="V63" s="149"/>
    </row>
    <row r="64" spans="1:23" ht="12">
      <c r="A64" s="116"/>
      <c r="B64" s="78"/>
      <c r="C64" s="148"/>
      <c r="D64" s="148"/>
      <c r="E64" s="148"/>
      <c r="F64" s="148"/>
      <c r="G64" s="14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148"/>
      <c r="V64" s="149"/>
    </row>
    <row r="65" spans="1:22" ht="12">
      <c r="A65" s="116"/>
      <c r="B65" s="78"/>
      <c r="C65" s="148"/>
      <c r="D65" s="148"/>
      <c r="E65" s="148"/>
      <c r="F65" s="148"/>
      <c r="G65" s="14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148"/>
      <c r="V65" s="149"/>
    </row>
    <row r="66" spans="1:22" ht="12">
      <c r="A66" s="116"/>
      <c r="B66" s="78"/>
      <c r="C66" s="148"/>
      <c r="D66" s="148"/>
      <c r="E66" s="148"/>
      <c r="F66" s="148"/>
      <c r="G66" s="14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148"/>
      <c r="V66" s="149"/>
    </row>
    <row r="67" spans="1:22" ht="12">
      <c r="A67" s="116"/>
      <c r="B67" s="78"/>
      <c r="C67" s="148"/>
      <c r="D67" s="148"/>
      <c r="E67" s="148"/>
      <c r="F67" s="148"/>
      <c r="G67" s="14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148"/>
      <c r="V67" s="149"/>
    </row>
    <row r="68" spans="1:22" ht="12">
      <c r="A68" s="116"/>
      <c r="B68" s="78"/>
      <c r="C68" s="148"/>
      <c r="D68" s="148"/>
      <c r="E68" s="148"/>
      <c r="F68" s="148"/>
      <c r="G68" s="14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148"/>
      <c r="V68" s="149"/>
    </row>
    <row r="69" spans="1:22" ht="7.5" customHeight="1" thickBot="1">
      <c r="A69" s="131"/>
      <c r="B69" s="132"/>
      <c r="C69" s="151"/>
      <c r="D69" s="151"/>
      <c r="E69" s="151"/>
      <c r="F69" s="151"/>
      <c r="G69" s="151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51"/>
      <c r="V69" s="152"/>
    </row>
    <row r="70" spans="1:22" ht="21" customHeight="1">
      <c r="V70" s="153" t="s">
        <v>86</v>
      </c>
    </row>
    <row r="73" spans="1:22" ht="22.5" customHeight="1">
      <c r="H73" s="154"/>
    </row>
  </sheetData>
  <mergeCells count="22">
    <mergeCell ref="O33:Q33"/>
    <mergeCell ref="O34:Q36"/>
    <mergeCell ref="O38:Q39"/>
    <mergeCell ref="R38:T39"/>
    <mergeCell ref="A42:B49"/>
    <mergeCell ref="C42:F49"/>
    <mergeCell ref="G42:I49"/>
    <mergeCell ref="J42:N44"/>
    <mergeCell ref="O42:P49"/>
    <mergeCell ref="J45:N49"/>
    <mergeCell ref="A8:B8"/>
    <mergeCell ref="A19:A29"/>
    <mergeCell ref="B29:G29"/>
    <mergeCell ref="O31:Q31"/>
    <mergeCell ref="R31:T31"/>
    <mergeCell ref="U6:V6"/>
    <mergeCell ref="O32:Q32"/>
    <mergeCell ref="C4:F4"/>
    <mergeCell ref="G4:H4"/>
    <mergeCell ref="C5:F5"/>
    <mergeCell ref="P5:S5"/>
    <mergeCell ref="P6:S6"/>
  </mergeCells>
  <conditionalFormatting sqref="H9:Q18 C4:F4">
    <cfRule type="cellIs" dxfId="9" priority="10" stopIfTrue="1" operator="notEqual">
      <formula>FALSE</formula>
    </cfRule>
  </conditionalFormatting>
  <conditionalFormatting sqref="C42:F49">
    <cfRule type="cellIs" dxfId="8" priority="8" stopIfTrue="1" operator="equal">
      <formula>"G"</formula>
    </cfRule>
    <cfRule type="cellIs" dxfId="7" priority="9" stopIfTrue="1" operator="equal">
      <formula>"NG"</formula>
    </cfRule>
  </conditionalFormatting>
  <conditionalFormatting sqref="H19:Q29">
    <cfRule type="cellIs" dxfId="6" priority="7" stopIfTrue="1" operator="notEqual">
      <formula>FALSE</formula>
    </cfRule>
  </conditionalFormatting>
  <conditionalFormatting sqref="U9:U29">
    <cfRule type="cellIs" dxfId="5" priority="5" stopIfTrue="1" operator="equal">
      <formula>"NG"</formula>
    </cfRule>
    <cfRule type="cellIs" dxfId="4" priority="6" stopIfTrue="1" operator="equal">
      <formula>"G"</formula>
    </cfRule>
  </conditionalFormatting>
  <conditionalFormatting sqref="U32:U37">
    <cfRule type="cellIs" dxfId="3" priority="3" stopIfTrue="1" operator="equal">
      <formula>"NG"</formula>
    </cfRule>
    <cfRule type="cellIs" dxfId="2" priority="4" stopIfTrue="1" operator="equal">
      <formula>"G"</formula>
    </cfRule>
  </conditionalFormatting>
  <conditionalFormatting sqref="C4:F4">
    <cfRule type="containsBlanks" dxfId="1" priority="2" stopIfTrue="1">
      <formula>LEN(TRIM(C4))=0</formula>
    </cfRule>
  </conditionalFormatting>
  <conditionalFormatting sqref="H15:Q18">
    <cfRule type="cellIs" dxfId="0" priority="1" stopIfTrue="1" operator="notEqual">
      <formula>FALSE</formula>
    </cfRule>
  </conditionalFormatting>
  <pageMargins left="0.53" right="0.12" top="0.54" bottom="0.39" header="0.33" footer="0.14000000000000001"/>
  <pageSetup paperSize="9" scale="64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392</v>
      </c>
    </row>
    <row r="2" spans="1:1">
      <c r="A2" t="s">
        <v>393</v>
      </c>
    </row>
    <row r="3" spans="1:1">
      <c r="A3" t="s">
        <v>394</v>
      </c>
    </row>
    <row r="4" spans="1:1">
      <c r="A4" t="s">
        <v>395</v>
      </c>
    </row>
    <row r="5" spans="1:1">
      <c r="A5" t="s">
        <v>464</v>
      </c>
    </row>
    <row r="6" spans="1:1">
      <c r="A6" t="s">
        <v>465</v>
      </c>
    </row>
    <row r="7" spans="1:1">
      <c r="A7" t="s">
        <v>466</v>
      </c>
    </row>
    <row r="8" spans="1:1">
      <c r="A8" t="s">
        <v>467</v>
      </c>
    </row>
    <row r="9" spans="1:1">
      <c r="A9" t="s">
        <v>467</v>
      </c>
    </row>
    <row r="10" spans="1:1">
      <c r="A10" t="s">
        <v>468</v>
      </c>
    </row>
    <row r="11" spans="1:1">
      <c r="A11" t="s">
        <v>469</v>
      </c>
    </row>
    <row r="12" spans="1:1">
      <c r="A12" t="s">
        <v>470</v>
      </c>
    </row>
    <row r="13" spans="1:1">
      <c r="A13" t="s">
        <v>471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74D21-61D8-4AFF-9D40-1A48384D85DB}">
  <sheetPr codeName="Sheet5"/>
  <dimension ref="A1"/>
  <sheetViews>
    <sheetView workbookViewId="0">
      <selection activeCell="H26" sqref="H26"/>
    </sheetView>
  </sheetViews>
  <sheetFormatPr defaultRowHeight="13.5"/>
  <sheetData>
    <row r="1" spans="1:1">
      <c r="A1" t="s">
        <v>494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2022-09-28T01:21:53Z</cp:lastPrinted>
  <dcterms:created xsi:type="dcterms:W3CDTF">2012-11-05T06:18:27Z</dcterms:created>
  <dcterms:modified xsi:type="dcterms:W3CDTF">2023-03-13T06:57:58Z</dcterms:modified>
</cp:coreProperties>
</file>