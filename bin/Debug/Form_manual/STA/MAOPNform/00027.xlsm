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 - Copy\STA\MAOPNform\"/>
    </mc:Choice>
  </mc:AlternateContent>
  <xr:revisionPtr revIDLastSave="0" documentId="13_ncr:1_{BEBF9144-9F23-4B12-8C37-96ABB76019A5}" xr6:coauthVersionLast="47" xr6:coauthVersionMax="47" xr10:uidLastSave="{00000000-0000-0000-0000-000000000000}"/>
  <bookViews>
    <workbookView xWindow="-110" yWindow="-110" windowWidth="19420" windowHeight="10420" tabRatio="791" activeTab="6" xr2:uid="{00000000-000D-0000-FFFF-FFFF00000000}"/>
  </bookViews>
  <sheets>
    <sheet name="FORM" sheetId="69" r:id="rId1"/>
    <sheet name="FORMPRINT" sheetId="67" r:id="rId2"/>
    <sheet name="Data" sheetId="31" r:id="rId3"/>
    <sheet name="FromConfig" sheetId="70" r:id="rId4"/>
    <sheet name="FromTextFile" sheetId="34" r:id="rId5"/>
    <sheet name="FromAS400" sheetId="68" r:id="rId6"/>
    <sheet name="FromTextFileCtrl" sheetId="71" r:id="rId7"/>
  </sheets>
  <functionGroups builtInGroupCount="19"/>
  <definedNames>
    <definedName name="_xlnm.Print_Area" localSheetId="1">FORMPRINT!$A$1:$J$54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9" i="69" l="1"/>
  <c r="D46" i="69"/>
  <c r="C46" i="69"/>
  <c r="B46" i="69"/>
  <c r="A49" i="69" s="1"/>
  <c r="D45" i="69"/>
  <c r="C45" i="69"/>
  <c r="B45" i="69"/>
  <c r="G11" i="69" l="1"/>
  <c r="G3" i="69"/>
  <c r="C27" i="69"/>
  <c r="B46" i="67"/>
  <c r="B45" i="67"/>
  <c r="E49" i="67"/>
  <c r="H46" i="67"/>
  <c r="G46" i="67"/>
  <c r="F46" i="67"/>
  <c r="E46" i="67"/>
  <c r="D46" i="67"/>
  <c r="C46" i="67"/>
  <c r="H45" i="67"/>
  <c r="G45" i="67"/>
  <c r="F45" i="67"/>
  <c r="E45" i="67"/>
  <c r="D45" i="67"/>
  <c r="C45" i="67"/>
  <c r="A49" i="67" l="1"/>
  <c r="F27" i="67" s="1"/>
  <c r="I11" i="67" l="1"/>
</calcChain>
</file>

<file path=xl/sharedStrings.xml><?xml version="1.0" encoding="utf-8"?>
<sst xmlns="http://schemas.openxmlformats.org/spreadsheetml/2006/main" count="2332" uniqueCount="295">
  <si>
    <t>Confirmed</t>
  </si>
  <si>
    <t>Inspector</t>
  </si>
  <si>
    <t>MURATA ELECTRONICS ( THAILAND ),LTD.</t>
  </si>
  <si>
    <t>OUTGOING INSPECTION DATA SHEET OF ULTRASONIC SENSOR ( MAOPN )</t>
  </si>
  <si>
    <t>Murata Part No (รุ่น)</t>
  </si>
  <si>
    <t>Inspection Date ( วันที่ตรวจ )</t>
  </si>
  <si>
    <t>Lot Size ( จำนวนงาน )</t>
  </si>
  <si>
    <t>Temp. ( อณุหภูมิ )</t>
  </si>
  <si>
    <t>Lot no. ( หมายเลขล๊อต )</t>
  </si>
  <si>
    <t>Humidity ( ความชื้น )</t>
  </si>
  <si>
    <t xml:space="preserve">          1. Packing check ( การบรรจุ )</t>
  </si>
  <si>
    <t>Form  ( รูปแบบ )</t>
  </si>
  <si>
    <t>Packing Tube</t>
  </si>
  <si>
    <t>Judgment ( ผลการตัดสิน )</t>
  </si>
  <si>
    <t xml:space="preserve">             Packing mistake</t>
  </si>
  <si>
    <t xml:space="preserve">            Work slip mistake</t>
  </si>
  <si>
    <t xml:space="preserve">             Lable mistake</t>
  </si>
  <si>
    <t xml:space="preserve">            Over q' ty</t>
  </si>
  <si>
    <t xml:space="preserve">            Shortage q' ty</t>
  </si>
  <si>
    <t xml:space="preserve">          2. Sampling plan and App Insp ( การสุ่มตัวอย่างและตรวจสอบลักษณะภายนอก ) Normal ( ปกติ ) n =</t>
  </si>
  <si>
    <t>Total App. ( การตัดสินภายนอก )</t>
  </si>
  <si>
    <t>Marking ( ตราประทับ )</t>
  </si>
  <si>
    <t>Other ( อื่นๆ )</t>
  </si>
  <si>
    <t>Symbol and meaning ( สัญลักษณ์เครื่องมือและความหมาย )</t>
  </si>
  <si>
    <t>AS = Auto sorting</t>
  </si>
  <si>
    <t>C= C meter</t>
  </si>
  <si>
    <t>IR=High resistance meter</t>
  </si>
  <si>
    <t>DMI= Digimatic indicator</t>
  </si>
  <si>
    <t xml:space="preserve">          3. Dimension and Electrical Characteristic ( การตรวจทางกายภาพและคุณสมบัติทางไฟฟ้า ) Ac = 0 Re = 1</t>
  </si>
  <si>
    <t>Setting</t>
  </si>
  <si>
    <t>IR Measuring Voltage ( แรงดันวัดค่า IR ) ( VDC )</t>
  </si>
  <si>
    <t>50 VDC</t>
  </si>
  <si>
    <t>Item</t>
  </si>
  <si>
    <t xml:space="preserve">     Insulation resistance</t>
  </si>
  <si>
    <t>Capacitance at 1 kHz</t>
  </si>
  <si>
    <t>Resonant Frequency (kHz)</t>
  </si>
  <si>
    <t>Equip</t>
  </si>
  <si>
    <t>C</t>
  </si>
  <si>
    <t>IR</t>
  </si>
  <si>
    <t>N</t>
  </si>
  <si>
    <t>Spec</t>
  </si>
  <si>
    <t>มากกว่าหรือเท่ากับ100 Mohm</t>
  </si>
  <si>
    <t>2040 ~ 3060 pF</t>
  </si>
  <si>
    <t>Def</t>
  </si>
  <si>
    <t>Judge</t>
  </si>
  <si>
    <t xml:space="preserve">          4.  Total judgment ( ผลการตรวจสอบรวม )</t>
  </si>
  <si>
    <t xml:space="preserve">       ข้อควรระวังสำหรับการวัด IR</t>
  </si>
  <si>
    <t>1. วัดค่า IR ก่อนวัดค่าไฟฟ้าอื่น ๆ</t>
  </si>
  <si>
    <t>Item (หัวข้อ )</t>
  </si>
  <si>
    <t>2. Dot mark color ( สีของ Dot mark )</t>
  </si>
  <si>
    <t>3. Marking unclear ( ประทับตราไม่ชัดเจน )</t>
  </si>
  <si>
    <t>4. Marking mistake ( ประทับตราผิด )</t>
  </si>
  <si>
    <t>5. Solder chip on case ( เศษตะกั่วติดตัวถัง )</t>
  </si>
  <si>
    <t>6. Solder Chip on base ( เศษตะกั่วติดเบส )</t>
  </si>
  <si>
    <t>7. Silicone not cover hole terminal ( ซิลิโคน</t>
  </si>
  <si>
    <t>Q'ty</t>
  </si>
  <si>
    <t>N=Network analyer</t>
  </si>
  <si>
    <t>Remark</t>
  </si>
  <si>
    <t>-</t>
  </si>
  <si>
    <t>หมายเหตุ</t>
  </si>
  <si>
    <t xml:space="preserve">                     Re-Inspection</t>
  </si>
  <si>
    <t xml:space="preserve">              Re-Sort</t>
  </si>
  <si>
    <t xml:space="preserve">                     IPC</t>
  </si>
  <si>
    <t xml:space="preserve">              Re Over 6 month</t>
  </si>
  <si>
    <t xml:space="preserve">                     NC</t>
  </si>
  <si>
    <t xml:space="preserve">8. Epoxy not cover cap base and </t>
  </si>
  <si>
    <t xml:space="preserve">    case ( อีพอกซ์ซี่ไม่ปิดช่องว่าง</t>
  </si>
  <si>
    <t>9. Dot nark in the center ( Dot</t>
  </si>
  <si>
    <t>10. Quantity problem ( จำนวนงาน</t>
  </si>
  <si>
    <t>LOT</t>
  </si>
  <si>
    <t>PART NO.</t>
  </si>
  <si>
    <t>LOT SIZE</t>
  </si>
  <si>
    <t>PRODUCT_SPEC_NO</t>
  </si>
  <si>
    <t>CREATE_Date</t>
  </si>
  <si>
    <t>TEMP</t>
  </si>
  <si>
    <t>HUMIDITY</t>
  </si>
  <si>
    <t>LINE</t>
  </si>
  <si>
    <t>SHIFT</t>
  </si>
  <si>
    <t>PACKING TUBE_1</t>
  </si>
  <si>
    <t>PACKING TUBE_2</t>
  </si>
  <si>
    <t>PACKING TUBE_3</t>
  </si>
  <si>
    <t>PACKING TUBE_4</t>
  </si>
  <si>
    <t>PACKING TUBE_5</t>
  </si>
  <si>
    <t>PACKING TUBE_6</t>
  </si>
  <si>
    <t>PACKING TUBE_7</t>
  </si>
  <si>
    <t>PACKING TUBE_8</t>
  </si>
  <si>
    <t>PACKING TUBE_9</t>
  </si>
  <si>
    <t>PACKING TUBE_10</t>
  </si>
  <si>
    <t>WORKSLIP MISTAKE</t>
  </si>
  <si>
    <t>PACKING MISTAKE</t>
  </si>
  <si>
    <t>LABEL MISTAKE</t>
  </si>
  <si>
    <t>OVER QTY</t>
  </si>
  <si>
    <t>SHORTAGE QTY</t>
  </si>
  <si>
    <t>SAMPLE QTY</t>
  </si>
  <si>
    <t>INSPECT_1</t>
  </si>
  <si>
    <t>INSPECT_2</t>
  </si>
  <si>
    <t>INSPECT_3</t>
  </si>
  <si>
    <t>INSPECT_4</t>
  </si>
  <si>
    <t>INSPECT_5</t>
  </si>
  <si>
    <t>INSPECT_6</t>
  </si>
  <si>
    <t>INSPECT_7</t>
  </si>
  <si>
    <t>INSPECT_8</t>
  </si>
  <si>
    <t>INSPECT_9</t>
  </si>
  <si>
    <t>INSPECT_10</t>
  </si>
  <si>
    <t>INSPECT_11</t>
  </si>
  <si>
    <t>MARKING</t>
  </si>
  <si>
    <t>OTHER</t>
  </si>
  <si>
    <t>DIMELEITEM</t>
  </si>
  <si>
    <t>DIMELEEQUIP</t>
  </si>
  <si>
    <t>DIMELESPECMAX</t>
  </si>
  <si>
    <t>DIMELESPECMIN</t>
  </si>
  <si>
    <t>INSPECVAL1</t>
  </si>
  <si>
    <t>INSPECVAL2</t>
  </si>
  <si>
    <t>INSPECVAL3</t>
  </si>
  <si>
    <t>INSPECVAL4</t>
  </si>
  <si>
    <t>INSPECVAL5</t>
  </si>
  <si>
    <t>INSPECVAL6</t>
  </si>
  <si>
    <t>INSPECVAL7</t>
  </si>
  <si>
    <t>INSPECVAL8</t>
  </si>
  <si>
    <t>INSPECVAL9</t>
  </si>
  <si>
    <t>INSPECVAL10</t>
  </si>
  <si>
    <t>DIMELEINDEX</t>
  </si>
  <si>
    <t>INSPECVAL11</t>
  </si>
  <si>
    <t>INSPECVAL12</t>
  </si>
  <si>
    <t>INSPECVAL13</t>
  </si>
  <si>
    <t>INSPECVAL14</t>
  </si>
  <si>
    <t>INSPECVAL15</t>
  </si>
  <si>
    <t>INSPECVAL16</t>
  </si>
  <si>
    <t>INSPECVAL17</t>
  </si>
  <si>
    <t>INSPECVAL18</t>
  </si>
  <si>
    <t>INSPECVAL19</t>
  </si>
  <si>
    <t>INSPECVAL20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</si>
  <si>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</si>
  <si>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</si>
  <si>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</si>
  <si>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</si>
  <si>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</si>
  <si>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</si>
  <si>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</si>
  <si>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</si>
  <si>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</si>
  <si>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</si>
  <si>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</si>
  <si>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</si>
  <si>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</si>
  <si>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</si>
  <si>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</si>
  <si>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</si>
  <si>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</si>
  <si>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</si>
  <si>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</si>
  <si>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</si>
  <si>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</si>
  <si>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</si>
  <si>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</si>
  <si>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</si>
  <si>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</si>
  <si>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</si>
  <si>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</si>
  <si>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</si>
  <si>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</si>
  <si>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</si>
  <si>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</si>
  <si>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#32</t>
  </si>
  <si>
    <t>#33</t>
  </si>
  <si>
    <t>#34</t>
  </si>
  <si>
    <t>#35</t>
  </si>
  <si>
    <t>#36</t>
  </si>
  <si>
    <t>#37</t>
  </si>
  <si>
    <t>#38</t>
  </si>
  <si>
    <t>#39</t>
  </si>
  <si>
    <t>#40</t>
  </si>
  <si>
    <t>INSPECTION NO.</t>
  </si>
  <si>
    <t>#6#</t>
  </si>
  <si>
    <t>#7#</t>
  </si>
  <si>
    <t>#8#</t>
  </si>
  <si>
    <t>#9#</t>
  </si>
  <si>
    <t>IR Measuring time ( เวลาที่ใช้วัด IR ) ( วินาที )</t>
  </si>
  <si>
    <t>#11#</t>
  </si>
  <si>
    <t>#12#</t>
  </si>
  <si>
    <t>#13#</t>
  </si>
  <si>
    <t>#14#</t>
  </si>
  <si>
    <t>#15#</t>
  </si>
  <si>
    <t>#16#</t>
  </si>
  <si>
    <t>Inspection Item ( หัวข้อการตรวจเช็ค )</t>
  </si>
  <si>
    <t>ES</t>
  </si>
  <si>
    <t>Sensitivity check</t>
  </si>
  <si>
    <t>Customer part no.</t>
  </si>
  <si>
    <t>Packing spec no.</t>
  </si>
  <si>
    <t>#17#</t>
  </si>
  <si>
    <t>#32#</t>
  </si>
  <si>
    <t>#33#</t>
  </si>
  <si>
    <t>#34#</t>
  </si>
  <si>
    <t>#35#</t>
  </si>
  <si>
    <t>#36#</t>
  </si>
  <si>
    <t>#37#</t>
  </si>
  <si>
    <t>#38#</t>
  </si>
  <si>
    <t>#39#</t>
  </si>
  <si>
    <t>CUST PART</t>
  </si>
  <si>
    <t>CONFIRMED PERSON</t>
  </si>
  <si>
    <t>CONFIRMED DATE</t>
  </si>
  <si>
    <t>RESERVED 1</t>
  </si>
  <si>
    <t>RESERVED 2</t>
  </si>
  <si>
    <t>RESERVED 3</t>
  </si>
  <si>
    <t>RESERVED 4</t>
  </si>
  <si>
    <t>RESERVED 5</t>
  </si>
  <si>
    <t>RESERVED 6</t>
  </si>
  <si>
    <t>RESERVED 7</t>
  </si>
  <si>
    <t>#41#</t>
  </si>
  <si>
    <t>#42#</t>
  </si>
  <si>
    <t>#60#</t>
  </si>
  <si>
    <t>#61#</t>
  </si>
  <si>
    <t>#62#</t>
  </si>
  <si>
    <t>#63#</t>
  </si>
  <si>
    <t>#64#</t>
  </si>
  <si>
    <t>#85#</t>
  </si>
  <si>
    <t>#86#</t>
  </si>
  <si>
    <t>#87#</t>
  </si>
  <si>
    <t>#88#</t>
  </si>
  <si>
    <t>#89#</t>
  </si>
  <si>
    <t>#110#</t>
  </si>
  <si>
    <t>#111#</t>
  </si>
  <si>
    <t>#112#</t>
  </si>
  <si>
    <t>#113#</t>
  </si>
  <si>
    <t>#114#</t>
  </si>
  <si>
    <t xml:space="preserve">REMARK </t>
  </si>
  <si>
    <t>#43#</t>
  </si>
  <si>
    <t>Fixture dimension ( Unit : mm ) รูปวาดและหน่วยวัด (มม)</t>
  </si>
  <si>
    <t>Dimension (mm.)</t>
  </si>
  <si>
    <t>A</t>
  </si>
  <si>
    <t>B</t>
  </si>
  <si>
    <t>6.98 ~ 7.22</t>
  </si>
  <si>
    <t>2.60 ~ 3.20</t>
  </si>
  <si>
    <t>4.70 ~ 5.30</t>
  </si>
  <si>
    <t>Inspection no.(หมายเลขการตรวจสอบ)</t>
  </si>
  <si>
    <t>Remark ( หมายเหตุ )</t>
  </si>
  <si>
    <t>Line (ไลน์ )</t>
  </si>
  <si>
    <t>Shift ( กะ )</t>
  </si>
  <si>
    <t>1. Terminal inclination ( ขาเทอร์มินอลเอียง )</t>
  </si>
  <si>
    <t xml:space="preserve">   ไม่ปิดรูเทอร์มินอล )</t>
  </si>
  <si>
    <t xml:space="preserve">    ระหว่างเบสกับตัวถัง )</t>
  </si>
  <si>
    <t xml:space="preserve">    mark อยู่กึ่งกลางตัวถัง )</t>
  </si>
  <si>
    <t xml:space="preserve">      ขาดหรือเกิน )</t>
  </si>
  <si>
    <t>11. Other ( อื่นๆ )..........</t>
  </si>
  <si>
    <t>39.7 ~ 41.3</t>
  </si>
  <si>
    <t>117 ~ 122 dB</t>
  </si>
  <si>
    <t>Invoice</t>
  </si>
  <si>
    <t>Customer Code</t>
  </si>
  <si>
    <t>Customer Part No.</t>
  </si>
  <si>
    <t>Ship Qty.</t>
  </si>
  <si>
    <t>Customer Part</t>
  </si>
  <si>
    <t>#46#</t>
  </si>
  <si>
    <t>#47#</t>
  </si>
  <si>
    <t>#1056#</t>
  </si>
  <si>
    <t>#18#</t>
  </si>
  <si>
    <t>#19#</t>
  </si>
  <si>
    <t>#20#</t>
  </si>
  <si>
    <t>#21#</t>
  </si>
  <si>
    <t>#22#</t>
  </si>
  <si>
    <t>#40#</t>
  </si>
  <si>
    <t>#44#</t>
  </si>
  <si>
    <t>#65#</t>
  </si>
  <si>
    <t>#66#</t>
  </si>
  <si>
    <t>#67#</t>
  </si>
  <si>
    <t>#68#</t>
  </si>
  <si>
    <t>#69#</t>
  </si>
  <si>
    <t>#90#</t>
  </si>
  <si>
    <t>#91#</t>
  </si>
  <si>
    <t>#92#</t>
  </si>
  <si>
    <t>#93#</t>
  </si>
  <si>
    <t>#94#</t>
  </si>
  <si>
    <t>#115#</t>
  </si>
  <si>
    <t>#116#</t>
  </si>
  <si>
    <t>#117#</t>
  </si>
  <si>
    <t>#118#</t>
  </si>
  <si>
    <t>#119#</t>
  </si>
  <si>
    <t>#48#</t>
  </si>
  <si>
    <t>oC</t>
  </si>
  <si>
    <t>Line (ไลน์)</t>
  </si>
  <si>
    <t>%</t>
  </si>
  <si>
    <t>Shift (กะ)</t>
  </si>
  <si>
    <t>Inspection Item ( หัวข้อการตรวจเช็ค)</t>
  </si>
  <si>
    <t>1. Terminal inclination ( ขาเทอร์มินอลเอียง)</t>
  </si>
  <si>
    <t xml:space="preserve">   ระหว่างเบสกับตัวถัง )</t>
  </si>
  <si>
    <t xml:space="preserve">   mark อยู่กึ่งกลางตัวถัง )</t>
  </si>
  <si>
    <t xml:space="preserve">    ขาดหรือเกิน )</t>
  </si>
  <si>
    <t xml:space="preserve">    ไม่ปิดรูเทอร์มินอล )</t>
  </si>
  <si>
    <t xml:space="preserve">11. Other ( อื่นๆ )..........
</t>
  </si>
  <si>
    <t>#45#</t>
  </si>
  <si>
    <t>5 Seconds</t>
  </si>
  <si>
    <t>Inspection no.
(หมายเลขการตรวจสอบ)</t>
  </si>
  <si>
    <t>Remark 
( หมายเหตุ )</t>
  </si>
  <si>
    <t>Re-Inspection</t>
  </si>
  <si>
    <t>IPC</t>
  </si>
  <si>
    <t>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</si>
</sst>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Angsana New"/>
      <family val="1"/>
    </font>
    <font>
      <sz val="16"/>
      <name val="Angsana New"/>
      <family val="1"/>
    </font>
    <font>
      <b/>
      <sz val="18"/>
      <name val="Angsana New"/>
      <family val="1"/>
    </font>
    <font>
      <b/>
      <sz val="16"/>
      <name val="Angsana New"/>
      <family val="1"/>
    </font>
    <font>
      <sz val="10"/>
      <name val="ＭＳ 明朝"/>
      <family val="1"/>
      <charset val="128"/>
    </font>
    <font>
      <sz val="14"/>
      <name val="Cordia New"/>
      <family val="2"/>
    </font>
    <font>
      <b/>
      <sz val="14"/>
      <color rgb="FF000000"/>
      <name val="Cordia New"/>
      <family val="2"/>
    </font>
    <font>
      <b/>
      <sz val="14"/>
      <name val="Monotype Corsiva"/>
      <family val="4"/>
    </font>
    <font>
      <sz val="14"/>
      <name val="Cordia New"/>
      <family val="2"/>
    </font>
    <font>
      <sz val="12"/>
      <name val="Angsana New"/>
      <family val="1"/>
    </font>
    <font>
      <sz val="24"/>
      <name val="Angsana New"/>
      <family val="1"/>
    </font>
    <font>
      <sz val="26"/>
      <name val="Free 3 of 9 Extended"/>
    </font>
    <font>
      <sz val="22"/>
      <name val="Angsana New"/>
      <family val="1"/>
    </font>
    <font>
      <sz val="12"/>
      <color rgb="FF000000"/>
      <name val="Cordia New"/>
      <family val="2"/>
    </font>
    <font>
      <sz val="18"/>
      <name val="Angsana New"/>
      <family val="1"/>
    </font>
    <font>
      <sz val="20"/>
      <name val="Free 3 of 9 Extended"/>
    </font>
    <font>
      <sz val="20"/>
      <name val="Angsana New"/>
      <family val="1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dashDotDot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/>
      <top style="dashDotDot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DotDot">
        <color indexed="64"/>
      </bottom>
      <diagonal/>
    </border>
    <border>
      <left/>
      <right/>
      <top style="thin">
        <color indexed="64"/>
      </top>
      <bottom style="dashDotDot">
        <color indexed="64"/>
      </bottom>
      <diagonal/>
    </border>
    <border>
      <left style="thin">
        <color indexed="64"/>
      </left>
      <right/>
      <top style="thin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2" fillId="0" borderId="0"/>
    <xf numFmtId="0" fontId="7" fillId="0" borderId="0"/>
    <xf numFmtId="0" fontId="2" fillId="0" borderId="0"/>
    <xf numFmtId="0" fontId="8" fillId="0" borderId="0"/>
    <xf numFmtId="0" fontId="11" fillId="0" borderId="0"/>
    <xf numFmtId="0" fontId="2" fillId="0" borderId="0"/>
    <xf numFmtId="0" fontId="1" fillId="0" borderId="0"/>
  </cellStyleXfs>
  <cellXfs count="273">
    <xf numFmtId="0" fontId="0" fillId="0" borderId="0" xfId="0"/>
    <xf numFmtId="0" fontId="0" fillId="0" borderId="3" xfId="0" applyBorder="1"/>
    <xf numFmtId="0" fontId="0" fillId="3" borderId="0" xfId="0" quotePrefix="1" applyFill="1" applyBorder="1"/>
    <xf numFmtId="0" fontId="0" fillId="6" borderId="0" xfId="0" applyFill="1"/>
    <xf numFmtId="0" fontId="0" fillId="6" borderId="11" xfId="0" applyFill="1" applyBorder="1"/>
    <xf numFmtId="0" fontId="0" fillId="0" borderId="11" xfId="0" applyBorder="1"/>
    <xf numFmtId="0" fontId="0" fillId="6" borderId="0" xfId="0" applyFill="1" applyBorder="1"/>
    <xf numFmtId="0" fontId="0" fillId="0" borderId="0" xfId="0" applyBorder="1"/>
    <xf numFmtId="0" fontId="0" fillId="6" borderId="3" xfId="0" applyFill="1" applyBorder="1"/>
    <xf numFmtId="0" fontId="0" fillId="0" borderId="0" xfId="0" applyFill="1" applyBorder="1"/>
    <xf numFmtId="0" fontId="0" fillId="0" borderId="3" xfId="0" applyFill="1" applyBorder="1"/>
    <xf numFmtId="0" fontId="0" fillId="3" borderId="16" xfId="0" applyFill="1" applyBorder="1"/>
    <xf numFmtId="0" fontId="0" fillId="3" borderId="4" xfId="0" applyFill="1" applyBorder="1"/>
    <xf numFmtId="0" fontId="0" fillId="4" borderId="16" xfId="0" applyFill="1" applyBorder="1"/>
    <xf numFmtId="0" fontId="0" fillId="5" borderId="16" xfId="0" applyFill="1" applyBorder="1"/>
    <xf numFmtId="0" fontId="0" fillId="6" borderId="16" xfId="0" applyFill="1" applyBorder="1"/>
    <xf numFmtId="0" fontId="0" fillId="6" borderId="4" xfId="0" applyFill="1" applyBorder="1"/>
    <xf numFmtId="0" fontId="0" fillId="6" borderId="2" xfId="0" applyFill="1" applyBorder="1"/>
    <xf numFmtId="0" fontId="0" fillId="0" borderId="16" xfId="0" applyBorder="1"/>
    <xf numFmtId="0" fontId="0" fillId="4" borderId="2" xfId="0" applyFill="1" applyBorder="1"/>
    <xf numFmtId="0" fontId="0" fillId="4" borderId="0" xfId="0" applyFill="1" applyBorder="1"/>
    <xf numFmtId="0" fontId="0" fillId="4" borderId="4" xfId="0" applyFill="1" applyBorder="1"/>
    <xf numFmtId="0" fontId="0" fillId="4" borderId="3" xfId="0" quotePrefix="1" applyFill="1" applyBorder="1"/>
    <xf numFmtId="0" fontId="0" fillId="5" borderId="2" xfId="0" applyFill="1" applyBorder="1"/>
    <xf numFmtId="0" fontId="0" fillId="5" borderId="11" xfId="0" applyFill="1" applyBorder="1"/>
    <xf numFmtId="0" fontId="0" fillId="5" borderId="0" xfId="0" applyFill="1" applyBorder="1"/>
    <xf numFmtId="0" fontId="0" fillId="5" borderId="4" xfId="0" applyFill="1" applyBorder="1"/>
    <xf numFmtId="0" fontId="0" fillId="5" borderId="3" xfId="0" applyFill="1" applyBorder="1"/>
    <xf numFmtId="0" fontId="0" fillId="3" borderId="0" xfId="0" applyFill="1" applyBorder="1"/>
    <xf numFmtId="0" fontId="0" fillId="4" borderId="11" xfId="0" applyFill="1" applyBorder="1"/>
    <xf numFmtId="0" fontId="3" fillId="0" borderId="0" xfId="5" applyFont="1" applyAlignment="1">
      <alignment vertical="center"/>
    </xf>
    <xf numFmtId="0" fontId="3" fillId="0" borderId="0" xfId="5" applyFont="1" applyAlignment="1">
      <alignment horizontal="right" vertical="center"/>
    </xf>
    <xf numFmtId="0" fontId="4" fillId="0" borderId="1" xfId="5" applyFont="1" applyBorder="1" applyAlignment="1">
      <alignment horizontal="center" vertical="center"/>
    </xf>
    <xf numFmtId="0" fontId="3" fillId="2" borderId="5" xfId="5" applyFont="1" applyFill="1" applyBorder="1" applyAlignment="1">
      <alignment vertical="center"/>
    </xf>
    <xf numFmtId="0" fontId="3" fillId="2" borderId="6" xfId="5" applyFont="1" applyFill="1" applyBorder="1" applyAlignment="1">
      <alignment vertical="center"/>
    </xf>
    <xf numFmtId="0" fontId="3" fillId="0" borderId="1" xfId="5" applyFont="1" applyBorder="1" applyAlignment="1" applyProtection="1">
      <alignment horizontal="center" vertical="center"/>
      <protection locked="0"/>
    </xf>
    <xf numFmtId="0" fontId="3" fillId="0" borderId="0" xfId="5" applyFont="1" applyFill="1" applyBorder="1" applyAlignment="1">
      <alignment vertical="center"/>
    </xf>
    <xf numFmtId="0" fontId="3" fillId="0" borderId="0" xfId="5" applyFont="1" applyFill="1" applyBorder="1" applyAlignment="1">
      <alignment horizontal="center" vertical="center"/>
    </xf>
    <xf numFmtId="0" fontId="3" fillId="0" borderId="1" xfId="5" applyFont="1" applyBorder="1" applyAlignment="1">
      <alignment horizontal="center" vertical="center"/>
    </xf>
    <xf numFmtId="0" fontId="3" fillId="2" borderId="8" xfId="5" applyFont="1" applyFill="1" applyBorder="1" applyAlignment="1">
      <alignment vertical="center"/>
    </xf>
    <xf numFmtId="0" fontId="3" fillId="2" borderId="0" xfId="5" applyFont="1" applyFill="1" applyBorder="1" applyAlignment="1">
      <alignment vertical="center"/>
    </xf>
    <xf numFmtId="0" fontId="3" fillId="0" borderId="2" xfId="5" applyFont="1" applyFill="1" applyBorder="1" applyAlignment="1">
      <alignment horizontal="center" vertical="center"/>
    </xf>
    <xf numFmtId="0" fontId="3" fillId="0" borderId="8" xfId="5" applyFont="1" applyFill="1" applyBorder="1" applyAlignment="1">
      <alignment vertical="center"/>
    </xf>
    <xf numFmtId="0" fontId="3" fillId="2" borderId="16" xfId="5" applyFont="1" applyFill="1" applyBorder="1" applyAlignment="1">
      <alignment horizontal="left" vertical="center"/>
    </xf>
    <xf numFmtId="0" fontId="3" fillId="0" borderId="13" xfId="5" applyFont="1" applyFill="1" applyBorder="1" applyAlignment="1">
      <alignment vertical="center"/>
    </xf>
    <xf numFmtId="0" fontId="3" fillId="0" borderId="3" xfId="5" applyFont="1" applyFill="1" applyBorder="1" applyAlignment="1">
      <alignment vertical="center"/>
    </xf>
    <xf numFmtId="0" fontId="3" fillId="2" borderId="4" xfId="5" applyFont="1" applyFill="1" applyBorder="1" applyAlignment="1">
      <alignment horizontal="left" vertical="center"/>
    </xf>
    <xf numFmtId="0" fontId="3" fillId="0" borderId="6" xfId="5" applyFont="1" applyFill="1" applyBorder="1" applyAlignment="1">
      <alignment vertical="center"/>
    </xf>
    <xf numFmtId="0" fontId="3" fillId="0" borderId="9" xfId="5" applyFont="1" applyFill="1" applyBorder="1" applyAlignment="1">
      <alignment vertical="center"/>
    </xf>
    <xf numFmtId="0" fontId="3" fillId="0" borderId="14" xfId="5" applyFont="1" applyFill="1" applyBorder="1" applyAlignment="1">
      <alignment vertical="center"/>
    </xf>
    <xf numFmtId="0" fontId="3" fillId="0" borderId="5" xfId="5" applyFont="1" applyFill="1" applyBorder="1" applyAlignment="1">
      <alignment horizontal="right" vertical="center"/>
    </xf>
    <xf numFmtId="0" fontId="3" fillId="0" borderId="1" xfId="5" applyFont="1" applyFill="1" applyBorder="1" applyAlignment="1">
      <alignment vertical="center"/>
    </xf>
    <xf numFmtId="0" fontId="3" fillId="0" borderId="19" xfId="5" applyFont="1" applyFill="1" applyBorder="1" applyAlignment="1">
      <alignment vertical="center"/>
    </xf>
    <xf numFmtId="0" fontId="3" fillId="0" borderId="18" xfId="5" applyFont="1" applyFill="1" applyBorder="1" applyAlignment="1">
      <alignment vertical="center"/>
    </xf>
    <xf numFmtId="0" fontId="3" fillId="0" borderId="0" xfId="5" applyFont="1" applyAlignment="1">
      <alignment horizontal="center" vertical="center"/>
    </xf>
    <xf numFmtId="0" fontId="3" fillId="0" borderId="0" xfId="5" applyFont="1" applyBorder="1" applyAlignment="1">
      <alignment horizontal="center" vertical="center"/>
    </xf>
    <xf numFmtId="0" fontId="3" fillId="0" borderId="3" xfId="5" applyFont="1" applyBorder="1" applyAlignment="1">
      <alignment horizontal="center" vertical="center"/>
    </xf>
    <xf numFmtId="0" fontId="3" fillId="0" borderId="14" xfId="5" applyFont="1" applyBorder="1" applyAlignment="1">
      <alignment horizontal="center" vertical="center"/>
    </xf>
    <xf numFmtId="0" fontId="3" fillId="0" borderId="1" xfId="5" quotePrefix="1" applyFont="1" applyBorder="1" applyAlignment="1">
      <alignment horizontal="center" vertical="center"/>
    </xf>
    <xf numFmtId="2" fontId="3" fillId="0" borderId="1" xfId="5" applyNumberFormat="1" applyFont="1" applyBorder="1" applyAlignment="1">
      <alignment horizontal="center" vertical="center"/>
    </xf>
    <xf numFmtId="1" fontId="3" fillId="0" borderId="1" xfId="5" applyNumberFormat="1" applyFont="1" applyBorder="1" applyAlignment="1" applyProtection="1">
      <alignment horizontal="center" vertical="center"/>
      <protection locked="0"/>
    </xf>
    <xf numFmtId="2" fontId="3" fillId="0" borderId="1" xfId="5" applyNumberFormat="1" applyFont="1" applyBorder="1" applyAlignment="1" applyProtection="1">
      <alignment horizontal="center" vertical="center"/>
      <protection locked="0"/>
    </xf>
    <xf numFmtId="0" fontId="3" fillId="0" borderId="2" xfId="5" applyFont="1" applyBorder="1" applyAlignment="1">
      <alignment horizontal="center" vertical="center"/>
    </xf>
    <xf numFmtId="2" fontId="3" fillId="0" borderId="2" xfId="5" applyNumberFormat="1" applyFont="1" applyBorder="1" applyAlignment="1">
      <alignment horizontal="center" vertical="center"/>
    </xf>
    <xf numFmtId="0" fontId="3" fillId="0" borderId="15" xfId="5" applyFont="1" applyBorder="1" applyAlignment="1">
      <alignment horizontal="center" vertical="center"/>
    </xf>
    <xf numFmtId="0" fontId="3" fillId="0" borderId="10" xfId="5" applyFont="1" applyBorder="1" applyAlignment="1">
      <alignment vertical="center"/>
    </xf>
    <xf numFmtId="0" fontId="3" fillId="0" borderId="12" xfId="5" applyFont="1" applyBorder="1" applyAlignment="1">
      <alignment vertical="center"/>
    </xf>
    <xf numFmtId="0" fontId="12" fillId="0" borderId="2" xfId="5" applyFont="1" applyBorder="1" applyAlignment="1">
      <alignment vertical="center"/>
    </xf>
    <xf numFmtId="0" fontId="3" fillId="0" borderId="8" xfId="5" applyFont="1" applyBorder="1" applyAlignment="1">
      <alignment vertical="center"/>
    </xf>
    <xf numFmtId="0" fontId="3" fillId="0" borderId="9" xfId="5" applyFont="1" applyBorder="1" applyAlignment="1">
      <alignment vertical="center"/>
    </xf>
    <xf numFmtId="0" fontId="12" fillId="0" borderId="16" xfId="5" applyFont="1" applyBorder="1" applyAlignment="1">
      <alignment vertical="center"/>
    </xf>
    <xf numFmtId="0" fontId="3" fillId="0" borderId="16" xfId="5" applyFont="1" applyBorder="1" applyAlignment="1">
      <alignment vertical="center"/>
    </xf>
    <xf numFmtId="0" fontId="3" fillId="0" borderId="13" xfId="5" applyFont="1" applyBorder="1" applyAlignment="1">
      <alignment vertical="center"/>
    </xf>
    <xf numFmtId="0" fontId="3" fillId="0" borderId="14" xfId="5" applyFont="1" applyBorder="1" applyAlignment="1">
      <alignment vertical="center"/>
    </xf>
    <xf numFmtId="0" fontId="3" fillId="0" borderId="4" xfId="5" applyFont="1" applyBorder="1" applyAlignment="1">
      <alignment vertical="center"/>
    </xf>
    <xf numFmtId="0" fontId="3" fillId="2" borderId="1" xfId="5" applyFont="1" applyFill="1" applyBorder="1" applyAlignment="1">
      <alignment vertical="center"/>
    </xf>
    <xf numFmtId="0" fontId="3" fillId="2" borderId="1" xfId="5" applyFont="1" applyFill="1" applyBorder="1" applyAlignment="1">
      <alignment horizontal="left" vertical="center"/>
    </xf>
    <xf numFmtId="0" fontId="3" fillId="0" borderId="2" xfId="5" applyFont="1" applyFill="1" applyBorder="1" applyAlignment="1" applyProtection="1">
      <alignment vertical="center"/>
      <protection locked="0"/>
    </xf>
    <xf numFmtId="0" fontId="3" fillId="0" borderId="5" xfId="5" applyFont="1" applyFill="1" applyBorder="1" applyAlignment="1" applyProtection="1">
      <alignment horizontal="center" vertical="center"/>
      <protection locked="0"/>
    </xf>
    <xf numFmtId="0" fontId="3" fillId="0" borderId="7" xfId="5" applyFont="1" applyFill="1" applyBorder="1" applyAlignment="1" applyProtection="1">
      <alignment horizontal="left" vertical="center"/>
      <protection locked="0"/>
    </xf>
    <xf numFmtId="0" fontId="3" fillId="0" borderId="6" xfId="5" applyFont="1" applyFill="1" applyBorder="1" applyAlignment="1">
      <alignment horizontal="left" vertical="center"/>
    </xf>
    <xf numFmtId="0" fontId="3" fillId="0" borderId="2" xfId="5" applyFont="1" applyFill="1" applyBorder="1" applyAlignment="1">
      <alignment vertical="center"/>
    </xf>
    <xf numFmtId="0" fontId="3" fillId="0" borderId="16" xfId="5" applyFont="1" applyFill="1" applyBorder="1" applyAlignment="1">
      <alignment vertical="center"/>
    </xf>
    <xf numFmtId="0" fontId="3" fillId="0" borderId="4" xfId="5" applyFont="1" applyFill="1" applyBorder="1" applyAlignment="1">
      <alignment vertical="center"/>
    </xf>
    <xf numFmtId="0" fontId="3" fillId="0" borderId="7" xfId="5" applyFont="1" applyFill="1" applyBorder="1" applyAlignment="1">
      <alignment vertical="center"/>
    </xf>
    <xf numFmtId="0" fontId="3" fillId="0" borderId="6" xfId="5" applyFont="1" applyFill="1" applyBorder="1" applyAlignment="1" applyProtection="1">
      <alignment horizontal="center" vertical="center"/>
      <protection locked="0"/>
    </xf>
    <xf numFmtId="0" fontId="10" fillId="0" borderId="2" xfId="5" applyFont="1" applyFill="1" applyBorder="1" applyAlignment="1">
      <alignment horizontal="center" vertical="center"/>
    </xf>
    <xf numFmtId="49" fontId="4" fillId="0" borderId="4" xfId="5" applyNumberFormat="1" applyFont="1" applyFill="1" applyBorder="1" applyAlignment="1">
      <alignment horizontal="center" vertical="center"/>
    </xf>
    <xf numFmtId="0" fontId="4" fillId="0" borderId="4" xfId="5" applyFont="1" applyFill="1" applyBorder="1" applyAlignment="1" applyProtection="1">
      <alignment horizontal="center" vertical="center"/>
      <protection locked="0"/>
    </xf>
    <xf numFmtId="14" fontId="0" fillId="3" borderId="0" xfId="0" quotePrefix="1" applyNumberFormat="1" applyFill="1" applyBorder="1"/>
    <xf numFmtId="0" fontId="0" fillId="3" borderId="3" xfId="0" applyFill="1" applyBorder="1"/>
    <xf numFmtId="0" fontId="0" fillId="5" borderId="0" xfId="0" quotePrefix="1" applyFill="1" applyBorder="1"/>
    <xf numFmtId="0" fontId="3" fillId="2" borderId="1" xfId="5" applyFont="1" applyFill="1" applyBorder="1" applyAlignment="1">
      <alignment horizontal="center" vertical="center"/>
    </xf>
    <xf numFmtId="0" fontId="3" fillId="0" borderId="0" xfId="5" applyFont="1" applyFill="1" applyBorder="1" applyAlignment="1">
      <alignment horizontal="left" vertical="center"/>
    </xf>
    <xf numFmtId="0" fontId="3" fillId="0" borderId="1" xfId="5" applyFont="1" applyFill="1" applyBorder="1" applyAlignment="1">
      <alignment horizontal="center" vertical="center"/>
    </xf>
    <xf numFmtId="0" fontId="3" fillId="0" borderId="18" xfId="5" applyFont="1" applyBorder="1" applyAlignment="1">
      <alignment horizontal="center" vertical="center"/>
    </xf>
    <xf numFmtId="49" fontId="0" fillId="3" borderId="0" xfId="0" applyNumberFormat="1" applyFill="1" applyBorder="1"/>
    <xf numFmtId="0" fontId="0" fillId="4" borderId="12" xfId="0" applyFill="1" applyBorder="1"/>
    <xf numFmtId="0" fontId="0" fillId="4" borderId="9" xfId="0" applyFill="1" applyBorder="1"/>
    <xf numFmtId="0" fontId="0" fillId="4" borderId="14" xfId="0" applyFill="1" applyBorder="1"/>
    <xf numFmtId="0" fontId="3" fillId="0" borderId="0" xfId="6" applyFont="1" applyAlignment="1">
      <alignment vertical="center"/>
    </xf>
    <xf numFmtId="0" fontId="3" fillId="0" borderId="0" xfId="6" quotePrefix="1" applyFont="1" applyAlignment="1">
      <alignment horizontal="right" vertical="center"/>
    </xf>
    <xf numFmtId="0" fontId="3" fillId="2" borderId="5" xfId="6" applyFont="1" applyFill="1" applyBorder="1" applyAlignment="1">
      <alignment vertical="center"/>
    </xf>
    <xf numFmtId="0" fontId="3" fillId="0" borderId="7" xfId="6" applyFont="1" applyBorder="1" applyAlignment="1">
      <alignment vertical="center"/>
    </xf>
    <xf numFmtId="0" fontId="3" fillId="0" borderId="5" xfId="6" applyFont="1" applyBorder="1" applyAlignment="1">
      <alignment horizontal="left" vertical="center"/>
    </xf>
    <xf numFmtId="0" fontId="3" fillId="0" borderId="6" xfId="6" applyFont="1" applyBorder="1" applyAlignment="1" applyProtection="1">
      <alignment horizontal="center" vertical="center"/>
      <protection locked="0"/>
    </xf>
    <xf numFmtId="0" fontId="3" fillId="7" borderId="5" xfId="6" applyFont="1" applyFill="1" applyBorder="1" applyAlignment="1" applyProtection="1">
      <alignment horizontal="center" vertical="center"/>
      <protection locked="0"/>
    </xf>
    <xf numFmtId="0" fontId="3" fillId="0" borderId="7" xfId="6" applyFont="1" applyBorder="1" applyAlignment="1" applyProtection="1">
      <alignment horizontal="center" vertical="center"/>
      <protection locked="0"/>
    </xf>
    <xf numFmtId="0" fontId="3" fillId="0" borderId="5" xfId="6" applyFont="1" applyBorder="1" applyAlignment="1" applyProtection="1">
      <alignment vertical="center"/>
      <protection locked="0"/>
    </xf>
    <xf numFmtId="0" fontId="3" fillId="7" borderId="7" xfId="6" applyFont="1" applyFill="1" applyBorder="1" applyAlignment="1" applyProtection="1">
      <alignment horizontal="center" vertical="center"/>
      <protection locked="0"/>
    </xf>
    <xf numFmtId="0" fontId="3" fillId="0" borderId="6" xfId="6" applyFont="1" applyBorder="1" applyAlignment="1">
      <alignment vertical="center"/>
    </xf>
    <xf numFmtId="0" fontId="3" fillId="2" borderId="1" xfId="6" applyFont="1" applyFill="1" applyBorder="1" applyAlignment="1">
      <alignment horizontal="left" vertical="center"/>
    </xf>
    <xf numFmtId="0" fontId="3" fillId="0" borderId="0" xfId="6" applyFont="1" applyAlignment="1">
      <alignment horizontal="left" vertical="center"/>
    </xf>
    <xf numFmtId="0" fontId="3" fillId="2" borderId="8" xfId="6" applyFont="1" applyFill="1" applyBorder="1" applyAlignment="1">
      <alignment vertical="center"/>
    </xf>
    <xf numFmtId="0" fontId="3" fillId="0" borderId="9" xfId="6" applyFont="1" applyBorder="1" applyAlignment="1">
      <alignment vertical="center"/>
    </xf>
    <xf numFmtId="0" fontId="3" fillId="0" borderId="8" xfId="6" applyFont="1" applyBorder="1" applyAlignment="1">
      <alignment vertical="center"/>
    </xf>
    <xf numFmtId="0" fontId="3" fillId="0" borderId="13" xfId="6" applyFont="1" applyBorder="1" applyAlignment="1">
      <alignment vertical="center"/>
    </xf>
    <xf numFmtId="0" fontId="3" fillId="0" borderId="3" xfId="6" applyFont="1" applyBorder="1" applyAlignment="1">
      <alignment vertical="center"/>
    </xf>
    <xf numFmtId="0" fontId="3" fillId="0" borderId="14" xfId="6" applyFont="1" applyBorder="1" applyAlignment="1">
      <alignment vertical="center"/>
    </xf>
    <xf numFmtId="0" fontId="3" fillId="7" borderId="0" xfId="6" applyFont="1" applyFill="1" applyAlignment="1">
      <alignment horizontal="left" vertical="center"/>
    </xf>
    <xf numFmtId="0" fontId="9" fillId="0" borderId="5" xfId="7" applyFont="1" applyBorder="1" applyAlignment="1">
      <alignment horizontal="left" vertical="center" readingOrder="1"/>
    </xf>
    <xf numFmtId="0" fontId="3" fillId="0" borderId="5" xfId="6" applyFont="1" applyBorder="1" applyAlignment="1">
      <alignment horizontal="center"/>
    </xf>
    <xf numFmtId="0" fontId="3" fillId="0" borderId="5" xfId="6" applyFont="1" applyBorder="1" applyAlignment="1">
      <alignment vertical="center" wrapText="1"/>
    </xf>
    <xf numFmtId="0" fontId="16" fillId="0" borderId="10" xfId="7" applyFont="1" applyBorder="1"/>
    <xf numFmtId="0" fontId="3" fillId="0" borderId="12" xfId="6" applyFont="1" applyBorder="1" applyAlignment="1">
      <alignment vertical="center"/>
    </xf>
    <xf numFmtId="0" fontId="3" fillId="0" borderId="10" xfId="6" applyFont="1" applyBorder="1" applyAlignment="1">
      <alignment vertical="center"/>
    </xf>
    <xf numFmtId="0" fontId="16" fillId="0" borderId="2" xfId="7" applyFont="1" applyBorder="1" applyAlignment="1">
      <alignment readingOrder="1"/>
    </xf>
    <xf numFmtId="0" fontId="3" fillId="0" borderId="16" xfId="6" applyFont="1" applyBorder="1" applyAlignment="1">
      <alignment vertical="center"/>
    </xf>
    <xf numFmtId="0" fontId="3" fillId="7" borderId="8" xfId="6" applyFont="1" applyFill="1" applyBorder="1" applyAlignment="1">
      <alignment vertical="center"/>
    </xf>
    <xf numFmtId="0" fontId="3" fillId="7" borderId="0" xfId="6" applyFont="1" applyFill="1" applyAlignment="1">
      <alignment vertical="center"/>
    </xf>
    <xf numFmtId="0" fontId="3" fillId="7" borderId="9" xfId="6" applyFont="1" applyFill="1" applyBorder="1" applyAlignment="1">
      <alignment vertical="center"/>
    </xf>
    <xf numFmtId="0" fontId="16" fillId="0" borderId="8" xfId="7" applyFont="1" applyBorder="1" applyAlignment="1">
      <alignment horizontal="left" readingOrder="1"/>
    </xf>
    <xf numFmtId="0" fontId="16" fillId="0" borderId="16" xfId="7" applyFont="1" applyBorder="1" applyAlignment="1">
      <alignment readingOrder="1"/>
    </xf>
    <xf numFmtId="0" fontId="16" fillId="0" borderId="13" xfId="7" applyFont="1" applyBorder="1" applyAlignment="1">
      <alignment horizontal="left" readingOrder="1"/>
    </xf>
    <xf numFmtId="0" fontId="3" fillId="0" borderId="4" xfId="6" applyFont="1" applyBorder="1" applyAlignment="1">
      <alignment vertical="top" wrapText="1"/>
    </xf>
    <xf numFmtId="0" fontId="3" fillId="0" borderId="4" xfId="6" applyFont="1" applyBorder="1" applyAlignment="1">
      <alignment vertical="center"/>
    </xf>
    <xf numFmtId="0" fontId="3" fillId="7" borderId="13" xfId="6" applyFont="1" applyFill="1" applyBorder="1" applyAlignment="1">
      <alignment vertical="center"/>
    </xf>
    <xf numFmtId="0" fontId="3" fillId="7" borderId="3" xfId="6" applyFont="1" applyFill="1" applyBorder="1" applyAlignment="1">
      <alignment vertical="center"/>
    </xf>
    <xf numFmtId="0" fontId="3" fillId="7" borderId="14" xfId="6" applyFont="1" applyFill="1" applyBorder="1" applyAlignment="1">
      <alignment vertical="center"/>
    </xf>
    <xf numFmtId="0" fontId="3" fillId="0" borderId="7" xfId="6" applyFont="1" applyBorder="1" applyAlignment="1">
      <alignment horizontal="center" vertical="center"/>
    </xf>
    <xf numFmtId="0" fontId="3" fillId="0" borderId="6" xfId="6" applyFont="1" applyBorder="1" applyAlignment="1">
      <alignment horizontal="right" vertical="center"/>
    </xf>
    <xf numFmtId="0" fontId="3" fillId="0" borderId="6" xfId="6" applyFont="1" applyBorder="1" applyAlignment="1" applyProtection="1">
      <alignment vertical="center"/>
      <protection locked="0"/>
    </xf>
    <xf numFmtId="0" fontId="3" fillId="0" borderId="1" xfId="6" applyFont="1" applyBorder="1" applyAlignment="1">
      <alignment vertical="center"/>
    </xf>
    <xf numFmtId="0" fontId="3" fillId="0" borderId="18" xfId="6" applyFont="1" applyBorder="1" applyAlignment="1">
      <alignment horizontal="center" vertical="center"/>
    </xf>
    <xf numFmtId="0" fontId="3" fillId="0" borderId="17" xfId="6" applyFont="1" applyBorder="1" applyAlignment="1">
      <alignment horizontal="center" vertical="center"/>
    </xf>
    <xf numFmtId="0" fontId="3" fillId="0" borderId="0" xfId="6" applyFont="1" applyAlignment="1">
      <alignment horizontal="center" vertical="center"/>
    </xf>
    <xf numFmtId="0" fontId="3" fillId="0" borderId="3" xfId="6" applyFont="1" applyBorder="1" applyAlignment="1">
      <alignment horizontal="center" vertical="center"/>
    </xf>
    <xf numFmtId="0" fontId="3" fillId="0" borderId="14" xfId="6" applyFont="1" applyBorder="1" applyAlignment="1">
      <alignment horizontal="center" vertical="center"/>
    </xf>
    <xf numFmtId="0" fontId="3" fillId="0" borderId="1" xfId="6" applyFont="1" applyBorder="1" applyAlignment="1">
      <alignment horizontal="center" vertical="center"/>
    </xf>
    <xf numFmtId="0" fontId="3" fillId="0" borderId="1" xfId="7" applyFont="1" applyBorder="1" applyAlignment="1">
      <alignment horizontal="center" vertical="center"/>
    </xf>
    <xf numFmtId="1" fontId="3" fillId="0" borderId="1" xfId="6" applyNumberFormat="1" applyFont="1" applyBorder="1" applyAlignment="1" applyProtection="1">
      <alignment horizontal="center" vertical="center"/>
      <protection locked="0"/>
    </xf>
    <xf numFmtId="164" fontId="3" fillId="0" borderId="1" xfId="6" applyNumberFormat="1" applyFont="1" applyBorder="1" applyAlignment="1" applyProtection="1">
      <alignment horizontal="center" vertical="center"/>
      <protection locked="0"/>
    </xf>
    <xf numFmtId="0" fontId="3" fillId="0" borderId="2" xfId="6" applyFont="1" applyBorder="1" applyAlignment="1">
      <alignment horizontal="center" vertical="center"/>
    </xf>
    <xf numFmtId="0" fontId="3" fillId="0" borderId="15" xfId="6" applyFont="1" applyBorder="1" applyAlignment="1">
      <alignment horizontal="center" vertical="center"/>
    </xf>
    <xf numFmtId="0" fontId="3" fillId="0" borderId="23" xfId="6" applyFont="1" applyBorder="1" applyAlignment="1">
      <alignment horizontal="center" vertical="center"/>
    </xf>
    <xf numFmtId="0" fontId="3" fillId="0" borderId="10" xfId="6" applyFont="1" applyBorder="1" applyAlignment="1">
      <alignment vertical="center" wrapText="1"/>
    </xf>
    <xf numFmtId="0" fontId="3" fillId="0" borderId="11" xfId="6" applyFont="1" applyBorder="1" applyAlignment="1">
      <alignment vertical="center"/>
    </xf>
    <xf numFmtId="0" fontId="3" fillId="0" borderId="10" xfId="6" applyFont="1" applyBorder="1" applyAlignment="1">
      <alignment horizontal="center" vertical="center"/>
    </xf>
    <xf numFmtId="0" fontId="3" fillId="0" borderId="12" xfId="6" applyFont="1" applyBorder="1" applyAlignment="1">
      <alignment horizontal="center" vertical="center"/>
    </xf>
    <xf numFmtId="0" fontId="4" fillId="0" borderId="5" xfId="6" applyFont="1" applyBorder="1" applyAlignment="1">
      <alignment horizontal="center" vertical="center"/>
    </xf>
    <xf numFmtId="0" fontId="4" fillId="0" borderId="7" xfId="6" applyFont="1" applyBorder="1" applyAlignment="1">
      <alignment horizontal="center" vertical="center"/>
    </xf>
    <xf numFmtId="0" fontId="5" fillId="0" borderId="0" xfId="6" applyFont="1" applyAlignment="1">
      <alignment horizontal="center" vertical="center"/>
    </xf>
    <xf numFmtId="0" fontId="5" fillId="0" borderId="9" xfId="6" applyFont="1" applyBorder="1" applyAlignment="1">
      <alignment horizontal="center" vertical="center"/>
    </xf>
    <xf numFmtId="0" fontId="10" fillId="0" borderId="10" xfId="6" applyFont="1" applyBorder="1" applyAlignment="1">
      <alignment horizontal="center" vertical="center"/>
    </xf>
    <xf numFmtId="0" fontId="10" fillId="0" borderId="12" xfId="6" applyFont="1" applyBorder="1" applyAlignment="1">
      <alignment horizontal="center" vertical="center"/>
    </xf>
    <xf numFmtId="0" fontId="6" fillId="0" borderId="3" xfId="6" applyFont="1" applyBorder="1" applyAlignment="1">
      <alignment horizontal="left" vertical="center"/>
    </xf>
    <xf numFmtId="0" fontId="6" fillId="0" borderId="14" xfId="6" applyFont="1" applyBorder="1" applyAlignment="1">
      <alignment horizontal="left" vertical="center"/>
    </xf>
    <xf numFmtId="49" fontId="3" fillId="0" borderId="13" xfId="6" applyNumberFormat="1" applyFont="1" applyBorder="1" applyAlignment="1">
      <alignment horizontal="center" vertical="center"/>
    </xf>
    <xf numFmtId="49" fontId="3" fillId="0" borderId="14" xfId="6" applyNumberFormat="1" applyFont="1" applyBorder="1" applyAlignment="1">
      <alignment horizontal="center" vertical="center"/>
    </xf>
    <xf numFmtId="49" fontId="3" fillId="7" borderId="5" xfId="6" applyNumberFormat="1" applyFont="1" applyFill="1" applyBorder="1" applyAlignment="1">
      <alignment horizontal="center" vertical="center"/>
    </xf>
    <xf numFmtId="49" fontId="3" fillId="7" borderId="6" xfId="6" applyNumberFormat="1" applyFont="1" applyFill="1" applyBorder="1" applyAlignment="1">
      <alignment horizontal="center" vertical="center"/>
    </xf>
    <xf numFmtId="49" fontId="3" fillId="7" borderId="7" xfId="6" applyNumberFormat="1" applyFont="1" applyFill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6" xfId="6" applyFont="1" applyBorder="1" applyAlignment="1">
      <alignment horizontal="center" vertical="center"/>
    </xf>
    <xf numFmtId="0" fontId="3" fillId="0" borderId="7" xfId="6" applyFont="1" applyBorder="1" applyAlignment="1">
      <alignment horizontal="center" vertical="center"/>
    </xf>
    <xf numFmtId="0" fontId="3" fillId="2" borderId="5" xfId="6" applyFont="1" applyFill="1" applyBorder="1" applyAlignment="1">
      <alignment horizontal="center" vertical="center"/>
    </xf>
    <xf numFmtId="0" fontId="3" fillId="2" borderId="6" xfId="6" applyFont="1" applyFill="1" applyBorder="1" applyAlignment="1">
      <alignment horizontal="center" vertical="center"/>
    </xf>
    <xf numFmtId="0" fontId="3" fillId="2" borderId="7" xfId="6" applyFont="1" applyFill="1" applyBorder="1" applyAlignment="1">
      <alignment horizontal="center" vertical="center"/>
    </xf>
    <xf numFmtId="0" fontId="3" fillId="0" borderId="8" xfId="6" applyFont="1" applyBorder="1" applyAlignment="1">
      <alignment horizontal="center" vertical="center"/>
    </xf>
    <xf numFmtId="0" fontId="3" fillId="0" borderId="9" xfId="6" applyFont="1" applyBorder="1" applyAlignment="1">
      <alignment horizontal="center" vertical="center"/>
    </xf>
    <xf numFmtId="0" fontId="3" fillId="2" borderId="8" xfId="6" applyFont="1" applyFill="1" applyBorder="1" applyAlignment="1">
      <alignment horizontal="left" vertical="center"/>
    </xf>
    <xf numFmtId="0" fontId="3" fillId="2" borderId="9" xfId="6" applyFont="1" applyFill="1" applyBorder="1" applyAlignment="1">
      <alignment horizontal="left" vertical="center"/>
    </xf>
    <xf numFmtId="0" fontId="3" fillId="0" borderId="1" xfId="6" applyFont="1" applyBorder="1" applyAlignment="1">
      <alignment horizontal="center" vertical="center"/>
    </xf>
    <xf numFmtId="0" fontId="3" fillId="0" borderId="13" xfId="6" applyFont="1" applyBorder="1" applyAlignment="1">
      <alignment horizontal="center" vertical="center"/>
    </xf>
    <xf numFmtId="0" fontId="3" fillId="0" borderId="14" xfId="6" applyFont="1" applyBorder="1" applyAlignment="1">
      <alignment horizontal="center" vertical="center"/>
    </xf>
    <xf numFmtId="0" fontId="3" fillId="2" borderId="13" xfId="6" applyFont="1" applyFill="1" applyBorder="1" applyAlignment="1">
      <alignment horizontal="left" vertical="center"/>
    </xf>
    <xf numFmtId="0" fontId="3" fillId="2" borderId="14" xfId="6" applyFont="1" applyFill="1" applyBorder="1" applyAlignment="1">
      <alignment horizontal="left" vertical="center"/>
    </xf>
    <xf numFmtId="0" fontId="3" fillId="7" borderId="10" xfId="6" applyFont="1" applyFill="1" applyBorder="1" applyAlignment="1">
      <alignment horizontal="center" vertical="center"/>
    </xf>
    <xf numFmtId="0" fontId="3" fillId="7" borderId="11" xfId="6" applyFont="1" applyFill="1" applyBorder="1" applyAlignment="1">
      <alignment horizontal="center" vertical="center"/>
    </xf>
    <xf numFmtId="0" fontId="3" fillId="7" borderId="12" xfId="6" applyFont="1" applyFill="1" applyBorder="1" applyAlignment="1">
      <alignment horizontal="center" vertical="center"/>
    </xf>
    <xf numFmtId="0" fontId="3" fillId="0" borderId="22" xfId="6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20" xfId="6" applyFont="1" applyBorder="1" applyAlignment="1">
      <alignment horizontal="center" vertical="center"/>
    </xf>
    <xf numFmtId="0" fontId="3" fillId="0" borderId="19" xfId="6" applyFont="1" applyBorder="1" applyAlignment="1">
      <alignment horizontal="center" vertical="center"/>
    </xf>
    <xf numFmtId="0" fontId="3" fillId="0" borderId="18" xfId="6" applyFont="1" applyBorder="1" applyAlignment="1">
      <alignment horizontal="center" vertical="center"/>
    </xf>
    <xf numFmtId="0" fontId="3" fillId="0" borderId="24" xfId="6" applyFont="1" applyBorder="1" applyAlignment="1">
      <alignment horizontal="center" vertical="center"/>
    </xf>
    <xf numFmtId="0" fontId="3" fillId="0" borderId="25" xfId="6" applyFont="1" applyBorder="1" applyAlignment="1">
      <alignment horizontal="center" vertical="center"/>
    </xf>
    <xf numFmtId="0" fontId="3" fillId="0" borderId="26" xfId="6" applyFont="1" applyBorder="1" applyAlignment="1">
      <alignment horizontal="center" vertical="center"/>
    </xf>
    <xf numFmtId="0" fontId="3" fillId="0" borderId="2" xfId="6" applyFont="1" applyBorder="1" applyAlignment="1">
      <alignment horizontal="center" vertical="center"/>
    </xf>
    <xf numFmtId="0" fontId="3" fillId="0" borderId="27" xfId="6" applyFont="1" applyBorder="1" applyAlignment="1">
      <alignment horizontal="center" vertical="center"/>
    </xf>
    <xf numFmtId="0" fontId="3" fillId="0" borderId="28" xfId="6" applyFont="1" applyBorder="1" applyAlignment="1">
      <alignment horizontal="center" vertical="center"/>
    </xf>
    <xf numFmtId="0" fontId="3" fillId="0" borderId="29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 wrapText="1"/>
    </xf>
    <xf numFmtId="0" fontId="3" fillId="0" borderId="7" xfId="6" applyFont="1" applyBorder="1" applyAlignment="1">
      <alignment horizontal="center" vertical="center" wrapText="1"/>
    </xf>
    <xf numFmtId="0" fontId="17" fillId="0" borderId="10" xfId="6" applyFont="1" applyBorder="1" applyAlignment="1">
      <alignment horizontal="center" vertical="center"/>
    </xf>
    <xf numFmtId="0" fontId="17" fillId="0" borderId="12" xfId="6" applyFont="1" applyBorder="1" applyAlignment="1">
      <alignment horizontal="center" vertical="center"/>
    </xf>
    <xf numFmtId="0" fontId="17" fillId="0" borderId="8" xfId="6" applyFont="1" applyBorder="1" applyAlignment="1">
      <alignment horizontal="center" vertical="center"/>
    </xf>
    <xf numFmtId="0" fontId="17" fillId="0" borderId="9" xfId="6" applyFont="1" applyBorder="1" applyAlignment="1">
      <alignment horizontal="center" vertical="center"/>
    </xf>
    <xf numFmtId="0" fontId="17" fillId="0" borderId="13" xfId="6" applyFont="1" applyBorder="1" applyAlignment="1">
      <alignment horizontal="center" vertical="center"/>
    </xf>
    <xf numFmtId="0" fontId="17" fillId="0" borderId="14" xfId="6" applyFont="1" applyBorder="1" applyAlignment="1">
      <alignment horizontal="center" vertical="center"/>
    </xf>
    <xf numFmtId="0" fontId="18" fillId="0" borderId="10" xfId="6" applyFont="1" applyBorder="1" applyAlignment="1">
      <alignment horizontal="center" vertical="center"/>
    </xf>
    <xf numFmtId="0" fontId="18" fillId="0" borderId="12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9" xfId="6" applyFont="1" applyBorder="1" applyAlignment="1">
      <alignment horizontal="center" vertical="center"/>
    </xf>
    <xf numFmtId="0" fontId="19" fillId="0" borderId="13" xfId="6" applyFont="1" applyBorder="1" applyAlignment="1">
      <alignment horizontal="center" vertical="center"/>
    </xf>
    <xf numFmtId="0" fontId="19" fillId="0" borderId="14" xfId="6" applyFont="1" applyBorder="1" applyAlignment="1">
      <alignment horizontal="center" vertical="center"/>
    </xf>
    <xf numFmtId="0" fontId="3" fillId="0" borderId="5" xfId="5" applyFont="1" applyBorder="1" applyAlignment="1">
      <alignment horizontal="left" vertical="center"/>
    </xf>
    <xf numFmtId="0" fontId="3" fillId="0" borderId="7" xfId="5" applyFont="1" applyBorder="1" applyAlignment="1">
      <alignment horizontal="left" vertical="center"/>
    </xf>
    <xf numFmtId="0" fontId="5" fillId="0" borderId="0" xfId="5" applyFont="1" applyAlignment="1">
      <alignment horizontal="center" vertical="center"/>
    </xf>
    <xf numFmtId="0" fontId="5" fillId="0" borderId="9" xfId="5" applyFont="1" applyBorder="1" applyAlignment="1">
      <alignment horizontal="center" vertical="center"/>
    </xf>
    <xf numFmtId="0" fontId="6" fillId="0" borderId="3" xfId="5" applyFont="1" applyBorder="1" applyAlignment="1">
      <alignment horizontal="left" vertical="center"/>
    </xf>
    <xf numFmtId="0" fontId="6" fillId="0" borderId="14" xfId="5" applyFont="1" applyBorder="1" applyAlignment="1">
      <alignment horizontal="left" vertical="center"/>
    </xf>
    <xf numFmtId="49" fontId="3" fillId="2" borderId="5" xfId="5" applyNumberFormat="1" applyFont="1" applyFill="1" applyBorder="1" applyAlignment="1">
      <alignment horizontal="center" vertical="center"/>
    </xf>
    <xf numFmtId="49" fontId="3" fillId="2" borderId="6" xfId="5" applyNumberFormat="1" applyFont="1" applyFill="1" applyBorder="1" applyAlignment="1">
      <alignment horizontal="center" vertical="center"/>
    </xf>
    <xf numFmtId="49" fontId="3" fillId="2" borderId="7" xfId="5" applyNumberFormat="1" applyFont="1" applyFill="1" applyBorder="1" applyAlignment="1">
      <alignment horizontal="center" vertical="center"/>
    </xf>
    <xf numFmtId="0" fontId="9" fillId="0" borderId="6" xfId="0" applyFont="1" applyBorder="1" applyAlignment="1">
      <alignment horizontal="left" readingOrder="1"/>
    </xf>
    <xf numFmtId="0" fontId="9" fillId="0" borderId="7" xfId="0" applyFont="1" applyBorder="1" applyAlignment="1">
      <alignment horizontal="left" readingOrder="1"/>
    </xf>
    <xf numFmtId="0" fontId="3" fillId="2" borderId="1" xfId="5" applyFont="1" applyFill="1" applyBorder="1" applyAlignment="1">
      <alignment horizontal="center" vertical="center"/>
    </xf>
    <xf numFmtId="0" fontId="3" fillId="0" borderId="5" xfId="5" applyFont="1" applyBorder="1" applyAlignment="1">
      <alignment horizontal="center" vertical="center"/>
    </xf>
    <xf numFmtId="0" fontId="3" fillId="0" borderId="6" xfId="5" applyFont="1" applyBorder="1" applyAlignment="1">
      <alignment horizontal="center" vertical="center"/>
    </xf>
    <xf numFmtId="0" fontId="3" fillId="0" borderId="7" xfId="5" applyFont="1" applyBorder="1" applyAlignment="1">
      <alignment horizontal="center" vertical="center"/>
    </xf>
    <xf numFmtId="0" fontId="3" fillId="2" borderId="5" xfId="5" applyFont="1" applyFill="1" applyBorder="1" applyAlignment="1">
      <alignment horizontal="center" vertical="center"/>
    </xf>
    <xf numFmtId="0" fontId="3" fillId="2" borderId="6" xfId="5" applyFont="1" applyFill="1" applyBorder="1" applyAlignment="1">
      <alignment horizontal="center" vertical="center"/>
    </xf>
    <xf numFmtId="0" fontId="3" fillId="0" borderId="6" xfId="5" applyFont="1" applyFill="1" applyBorder="1" applyAlignment="1">
      <alignment horizontal="center" vertical="center"/>
    </xf>
    <xf numFmtId="0" fontId="3" fillId="0" borderId="7" xfId="5" applyFont="1" applyFill="1" applyBorder="1" applyAlignment="1">
      <alignment horizontal="center" vertical="center"/>
    </xf>
    <xf numFmtId="0" fontId="3" fillId="0" borderId="10" xfId="5" applyFont="1" applyFill="1" applyBorder="1" applyAlignment="1">
      <alignment horizontal="center" vertical="center"/>
    </xf>
    <xf numFmtId="0" fontId="3" fillId="0" borderId="12" xfId="5" applyFont="1" applyFill="1" applyBorder="1" applyAlignment="1">
      <alignment horizontal="center" vertical="center"/>
    </xf>
    <xf numFmtId="0" fontId="3" fillId="0" borderId="8" xfId="5" applyFont="1" applyFill="1" applyBorder="1" applyAlignment="1">
      <alignment horizontal="center" vertical="center"/>
    </xf>
    <xf numFmtId="0" fontId="3" fillId="0" borderId="9" xfId="5" applyFont="1" applyFill="1" applyBorder="1" applyAlignment="1">
      <alignment horizontal="center" vertical="center"/>
    </xf>
    <xf numFmtId="0" fontId="3" fillId="0" borderId="13" xfId="5" applyFont="1" applyFill="1" applyBorder="1" applyAlignment="1">
      <alignment horizontal="center" vertical="center"/>
    </xf>
    <xf numFmtId="0" fontId="3" fillId="0" borderId="14" xfId="5" applyFont="1" applyFill="1" applyBorder="1" applyAlignment="1">
      <alignment horizontal="center" vertical="center"/>
    </xf>
    <xf numFmtId="0" fontId="3" fillId="0" borderId="6" xfId="5" applyFont="1" applyBorder="1" applyAlignment="1">
      <alignment horizontal="left" vertical="center"/>
    </xf>
    <xf numFmtId="0" fontId="3" fillId="0" borderId="5" xfId="5" applyFont="1" applyFill="1" applyBorder="1" applyAlignment="1">
      <alignment horizontal="center" vertical="center"/>
    </xf>
    <xf numFmtId="0" fontId="3" fillId="0" borderId="5" xfId="5" applyFont="1" applyFill="1" applyBorder="1" applyAlignment="1">
      <alignment horizontal="left" vertical="center"/>
    </xf>
    <xf numFmtId="0" fontId="3" fillId="0" borderId="7" xfId="5" applyFont="1" applyFill="1" applyBorder="1" applyAlignment="1">
      <alignment horizontal="left" vertical="center"/>
    </xf>
    <xf numFmtId="0" fontId="3" fillId="0" borderId="10" xfId="5" applyFont="1" applyFill="1" applyBorder="1" applyAlignment="1">
      <alignment horizontal="left" vertical="center" wrapText="1"/>
    </xf>
    <xf numFmtId="0" fontId="3" fillId="0" borderId="11" xfId="5" applyFont="1" applyFill="1" applyBorder="1" applyAlignment="1">
      <alignment horizontal="left" vertical="center"/>
    </xf>
    <xf numFmtId="0" fontId="3" fillId="0" borderId="12" xfId="5" applyFont="1" applyFill="1" applyBorder="1" applyAlignment="1">
      <alignment horizontal="left" vertical="center"/>
    </xf>
    <xf numFmtId="0" fontId="3" fillId="0" borderId="8" xfId="5" applyFont="1" applyFill="1" applyBorder="1" applyAlignment="1">
      <alignment horizontal="left" vertical="center" wrapText="1"/>
    </xf>
    <xf numFmtId="0" fontId="3" fillId="0" borderId="0" xfId="5" applyFont="1" applyFill="1" applyBorder="1" applyAlignment="1">
      <alignment horizontal="left" vertical="center"/>
    </xf>
    <xf numFmtId="0" fontId="3" fillId="0" borderId="9" xfId="5" applyFont="1" applyFill="1" applyBorder="1" applyAlignment="1">
      <alignment horizontal="left" vertical="center"/>
    </xf>
    <xf numFmtId="0" fontId="3" fillId="0" borderId="8" xfId="5" applyFont="1" applyFill="1" applyBorder="1" applyAlignment="1">
      <alignment horizontal="left" vertical="center"/>
    </xf>
    <xf numFmtId="0" fontId="3" fillId="0" borderId="13" xfId="5" applyFont="1" applyFill="1" applyBorder="1" applyAlignment="1">
      <alignment horizontal="left" vertical="center"/>
    </xf>
    <xf numFmtId="0" fontId="3" fillId="0" borderId="3" xfId="5" applyFont="1" applyFill="1" applyBorder="1" applyAlignment="1">
      <alignment horizontal="left" vertical="center"/>
    </xf>
    <xf numFmtId="0" fontId="3" fillId="0" borderId="14" xfId="5" applyFont="1" applyFill="1" applyBorder="1" applyAlignment="1">
      <alignment horizontal="left" vertical="center"/>
    </xf>
    <xf numFmtId="0" fontId="3" fillId="0" borderId="1" xfId="5" applyFont="1" applyFill="1" applyBorder="1" applyAlignment="1">
      <alignment horizontal="center" vertical="center"/>
    </xf>
    <xf numFmtId="0" fontId="3" fillId="0" borderId="22" xfId="5" applyFont="1" applyFill="1" applyBorder="1" applyAlignment="1">
      <alignment horizontal="center" vertical="center"/>
    </xf>
    <xf numFmtId="0" fontId="3" fillId="0" borderId="21" xfId="5" applyFont="1" applyFill="1" applyBorder="1" applyAlignment="1">
      <alignment horizontal="center" vertical="center"/>
    </xf>
    <xf numFmtId="0" fontId="3" fillId="0" borderId="20" xfId="5" applyFont="1" applyFill="1" applyBorder="1" applyAlignment="1">
      <alignment horizontal="center" vertical="center"/>
    </xf>
    <xf numFmtId="0" fontId="3" fillId="0" borderId="18" xfId="5" applyFont="1" applyBorder="1" applyAlignment="1">
      <alignment horizontal="center" vertical="center"/>
    </xf>
    <xf numFmtId="0" fontId="3" fillId="0" borderId="17" xfId="5" applyFont="1" applyBorder="1" applyAlignment="1">
      <alignment horizontal="center" vertical="center"/>
    </xf>
    <xf numFmtId="0" fontId="13" fillId="0" borderId="10" xfId="5" applyFont="1" applyBorder="1" applyAlignment="1" applyProtection="1">
      <alignment horizontal="center" vertical="center"/>
    </xf>
    <xf numFmtId="0" fontId="13" fillId="0" borderId="11" xfId="5" applyFont="1" applyBorder="1" applyAlignment="1" applyProtection="1">
      <alignment horizontal="center" vertical="center"/>
    </xf>
    <xf numFmtId="0" fontId="13" fillId="0" borderId="8" xfId="5" applyFont="1" applyBorder="1" applyAlignment="1" applyProtection="1">
      <alignment horizontal="center" vertical="center"/>
    </xf>
    <xf numFmtId="0" fontId="13" fillId="0" borderId="0" xfId="5" applyFont="1" applyBorder="1" applyAlignment="1" applyProtection="1">
      <alignment horizontal="center" vertical="center"/>
    </xf>
    <xf numFmtId="0" fontId="13" fillId="0" borderId="13" xfId="5" applyFont="1" applyBorder="1" applyAlignment="1" applyProtection="1">
      <alignment horizontal="center" vertical="center"/>
    </xf>
    <xf numFmtId="0" fontId="13" fillId="0" borderId="3" xfId="5" applyFont="1" applyBorder="1" applyAlignment="1" applyProtection="1">
      <alignment horizontal="center" vertical="center"/>
    </xf>
    <xf numFmtId="0" fontId="14" fillId="0" borderId="10" xfId="5" applyFont="1" applyBorder="1" applyAlignment="1" applyProtection="1">
      <alignment horizontal="center" vertical="center"/>
      <protection locked="0"/>
    </xf>
    <xf numFmtId="0" fontId="14" fillId="0" borderId="12" xfId="5" applyFont="1" applyBorder="1" applyAlignment="1" applyProtection="1">
      <alignment horizontal="center" vertical="center"/>
      <protection locked="0"/>
    </xf>
    <xf numFmtId="0" fontId="15" fillId="0" borderId="8" xfId="5" applyFont="1" applyBorder="1" applyAlignment="1" applyProtection="1">
      <alignment horizontal="center" vertical="center"/>
    </xf>
    <xf numFmtId="0" fontId="15" fillId="0" borderId="9" xfId="5" applyFont="1" applyBorder="1" applyAlignment="1" applyProtection="1">
      <alignment horizontal="center" vertical="center"/>
    </xf>
    <xf numFmtId="0" fontId="15" fillId="0" borderId="13" xfId="5" applyFont="1" applyBorder="1" applyAlignment="1" applyProtection="1">
      <alignment horizontal="center" vertical="center"/>
    </xf>
    <xf numFmtId="0" fontId="15" fillId="0" borderId="14" xfId="5" applyFont="1" applyBorder="1" applyAlignment="1" applyProtection="1">
      <alignment horizontal="center" vertical="center"/>
    </xf>
  </cellXfs>
  <cellStyles count="8">
    <cellStyle name="Normal" xfId="0" builtinId="0"/>
    <cellStyle name="Normal 2" xfId="3" xr:uid="{00000000-0005-0000-0000-000001000000}"/>
    <cellStyle name="Normal 3" xfId="4" xr:uid="{00000000-0005-0000-0000-000002000000}"/>
    <cellStyle name="Normal 3 2" xfId="6" xr:uid="{0CC4132F-D793-4A94-8C60-124CB1FFFD9A}"/>
    <cellStyle name="Normal 4" xfId="5" xr:uid="{00000000-0005-0000-0000-000003000000}"/>
    <cellStyle name="Normal 5" xfId="7" xr:uid="{C4F208EE-C86D-4738-838B-06B314BBD5D5}"/>
    <cellStyle name="ปกติ_RH-02 (A)" xfId="1" xr:uid="{00000000-0005-0000-0000-000004000000}"/>
    <cellStyle name="標準 2" xfId="2" xr:uid="{00000000-0005-0000-0000-000005000000}"/>
  </cellStyles>
  <dxfs count="3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wmf"/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76200</xdr:rowOff>
    </xdr:from>
    <xdr:to>
      <xdr:col>1</xdr:col>
      <xdr:colOff>933450</xdr:colOff>
      <xdr:row>2</xdr:row>
      <xdr:rowOff>257175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CDE4FE-4A43-4F2D-8CD0-30A96DC25C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238125"/>
          <a:ext cx="1314450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1047750</xdr:colOff>
      <xdr:row>57</xdr:row>
      <xdr:rowOff>0</xdr:rowOff>
    </xdr:from>
    <xdr:to>
      <xdr:col>1</xdr:col>
      <xdr:colOff>1047750</xdr:colOff>
      <xdr:row>57</xdr:row>
      <xdr:rowOff>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6FBFA836-5F01-49ED-AF99-D022A4709B06}"/>
            </a:ext>
          </a:extLst>
        </xdr:cNvPr>
        <xdr:cNvSpPr>
          <a:spLocks noChangeShapeType="1"/>
        </xdr:cNvSpPr>
      </xdr:nvSpPr>
      <xdr:spPr bwMode="auto">
        <a:xfrm>
          <a:off x="1476375" y="15440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11</xdr:row>
      <xdr:rowOff>38100</xdr:rowOff>
    </xdr:from>
    <xdr:to>
      <xdr:col>6</xdr:col>
      <xdr:colOff>333375</xdr:colOff>
      <xdr:row>16</xdr:row>
      <xdr:rowOff>0</xdr:rowOff>
    </xdr:to>
    <xdr:grpSp>
      <xdr:nvGrpSpPr>
        <xdr:cNvPr id="4" name="Group 28">
          <a:extLst>
            <a:ext uri="{FF2B5EF4-FFF2-40B4-BE49-F238E27FC236}">
              <a16:creationId xmlns:a16="http://schemas.microsoft.com/office/drawing/2014/main" id="{87CEF09A-06A2-450F-978B-1E68D75E18A4}"/>
            </a:ext>
          </a:extLst>
        </xdr:cNvPr>
        <xdr:cNvGrpSpPr>
          <a:grpSpLocks/>
        </xdr:cNvGrpSpPr>
      </xdr:nvGrpSpPr>
      <xdr:grpSpPr bwMode="auto">
        <a:xfrm>
          <a:off x="7150100" y="2711450"/>
          <a:ext cx="219075" cy="1231900"/>
          <a:chOff x="560" y="319"/>
          <a:chExt cx="23" cy="132"/>
        </a:xfrm>
      </xdr:grpSpPr>
      <xdr:sp macro="" textlink="">
        <xdr:nvSpPr>
          <xdr:cNvPr id="5" name="Rectangle 23">
            <a:extLst>
              <a:ext uri="{FF2B5EF4-FFF2-40B4-BE49-F238E27FC236}">
                <a16:creationId xmlns:a16="http://schemas.microsoft.com/office/drawing/2014/main" id="{73858242-B62D-413E-915B-ECBCA14EE1DF}"/>
              </a:ext>
            </a:extLst>
          </xdr:cNvPr>
          <xdr:cNvSpPr>
            <a:spLocks noChangeArrowheads="1"/>
          </xdr:cNvSpPr>
        </xdr:nvSpPr>
        <xdr:spPr bwMode="auto">
          <a:xfrm>
            <a:off x="560" y="31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" name="Rectangle 24">
            <a:extLst>
              <a:ext uri="{FF2B5EF4-FFF2-40B4-BE49-F238E27FC236}">
                <a16:creationId xmlns:a16="http://schemas.microsoft.com/office/drawing/2014/main" id="{B19B00DA-45F3-48D8-97F3-22F4573413E5}"/>
              </a:ext>
            </a:extLst>
          </xdr:cNvPr>
          <xdr:cNvSpPr>
            <a:spLocks noChangeArrowheads="1"/>
          </xdr:cNvSpPr>
        </xdr:nvSpPr>
        <xdr:spPr bwMode="auto">
          <a:xfrm>
            <a:off x="560" y="347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" name="Rectangle 25">
            <a:extLst>
              <a:ext uri="{FF2B5EF4-FFF2-40B4-BE49-F238E27FC236}">
                <a16:creationId xmlns:a16="http://schemas.microsoft.com/office/drawing/2014/main" id="{6FC853FC-FC74-4C18-AB42-D248733CAE10}"/>
              </a:ext>
            </a:extLst>
          </xdr:cNvPr>
          <xdr:cNvSpPr>
            <a:spLocks noChangeArrowheads="1"/>
          </xdr:cNvSpPr>
        </xdr:nvSpPr>
        <xdr:spPr bwMode="auto">
          <a:xfrm>
            <a:off x="560" y="375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" name="Rectangle 26">
            <a:extLst>
              <a:ext uri="{FF2B5EF4-FFF2-40B4-BE49-F238E27FC236}">
                <a16:creationId xmlns:a16="http://schemas.microsoft.com/office/drawing/2014/main" id="{43F7F4BF-511B-4EC5-9E85-18ACD6C5C255}"/>
              </a:ext>
            </a:extLst>
          </xdr:cNvPr>
          <xdr:cNvSpPr>
            <a:spLocks noChangeArrowheads="1"/>
          </xdr:cNvSpPr>
        </xdr:nvSpPr>
        <xdr:spPr bwMode="auto">
          <a:xfrm>
            <a:off x="560" y="403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" name="Rectangle 27">
            <a:extLst>
              <a:ext uri="{FF2B5EF4-FFF2-40B4-BE49-F238E27FC236}">
                <a16:creationId xmlns:a16="http://schemas.microsoft.com/office/drawing/2014/main" id="{6FD09792-51C9-4F11-9E79-705B7CF09733}"/>
              </a:ext>
            </a:extLst>
          </xdr:cNvPr>
          <xdr:cNvSpPr>
            <a:spLocks noChangeArrowheads="1"/>
          </xdr:cNvSpPr>
        </xdr:nvSpPr>
        <xdr:spPr bwMode="auto">
          <a:xfrm>
            <a:off x="560" y="43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5</xdr:col>
      <xdr:colOff>1104900</xdr:colOff>
      <xdr:row>16</xdr:row>
      <xdr:rowOff>9525</xdr:rowOff>
    </xdr:from>
    <xdr:ext cx="787711" cy="323850"/>
    <xdr:sp macro="" textlink="">
      <xdr:nvSpPr>
        <xdr:cNvPr id="10" name="Text Box 31">
          <a:extLst>
            <a:ext uri="{FF2B5EF4-FFF2-40B4-BE49-F238E27FC236}">
              <a16:creationId xmlns:a16="http://schemas.microsoft.com/office/drawing/2014/main" id="{DCEC430B-5CD1-4B77-9E50-56D6B75F7E01}"/>
            </a:ext>
          </a:extLst>
        </xdr:cNvPr>
        <xdr:cNvSpPr txBox="1">
          <a:spLocks noChangeArrowheads="1"/>
        </xdr:cNvSpPr>
      </xdr:nvSpPr>
      <xdr:spPr bwMode="auto">
        <a:xfrm>
          <a:off x="7667625" y="4086225"/>
          <a:ext cx="787711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41148" rIns="0" bIns="0" anchor="t" upright="1">
          <a:spAutoFit/>
        </a:bodyPr>
        <a:lstStyle/>
        <a:p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Cordia New"/>
              <a:cs typeface="Cordia New"/>
            </a:rPr>
            <a:t>,Ac = 0 Re = 1</a:t>
          </a:r>
        </a:p>
      </xdr:txBody>
    </xdr:sp>
    <xdr:clientData/>
  </xdr:oneCellAnchor>
  <xdr:twoCellAnchor editAs="oneCell">
    <xdr:from>
      <xdr:col>3</xdr:col>
      <xdr:colOff>447675</xdr:colOff>
      <xdr:row>20</xdr:row>
      <xdr:rowOff>180975</xdr:rowOff>
    </xdr:from>
    <xdr:to>
      <xdr:col>3</xdr:col>
      <xdr:colOff>542925</xdr:colOff>
      <xdr:row>21</xdr:row>
      <xdr:rowOff>238125</xdr:rowOff>
    </xdr:to>
    <xdr:sp macro="" textlink="">
      <xdr:nvSpPr>
        <xdr:cNvPr id="11" name="Text Box 35">
          <a:extLst>
            <a:ext uri="{FF2B5EF4-FFF2-40B4-BE49-F238E27FC236}">
              <a16:creationId xmlns:a16="http://schemas.microsoft.com/office/drawing/2014/main" id="{9B657CCF-7916-4D00-95E5-0C3BEE2824E3}"/>
            </a:ext>
          </a:extLst>
        </xdr:cNvPr>
        <xdr:cNvSpPr txBox="1">
          <a:spLocks noChangeArrowheads="1"/>
        </xdr:cNvSpPr>
      </xdr:nvSpPr>
      <xdr:spPr bwMode="auto">
        <a:xfrm>
          <a:off x="4143375" y="5381625"/>
          <a:ext cx="95250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123825</xdr:colOff>
      <xdr:row>31</xdr:row>
      <xdr:rowOff>57150</xdr:rowOff>
    </xdr:from>
    <xdr:to>
      <xdr:col>1</xdr:col>
      <xdr:colOff>304800</xdr:colOff>
      <xdr:row>31</xdr:row>
      <xdr:rowOff>190500</xdr:rowOff>
    </xdr:to>
    <xdr:sp macro="" textlink="">
      <xdr:nvSpPr>
        <xdr:cNvPr id="12" name="AutoShape 74">
          <a:extLst>
            <a:ext uri="{FF2B5EF4-FFF2-40B4-BE49-F238E27FC236}">
              <a16:creationId xmlns:a16="http://schemas.microsoft.com/office/drawing/2014/main" id="{0F00EEF8-29D2-4908-A061-3152E98A425B}"/>
            </a:ext>
          </a:extLst>
        </xdr:cNvPr>
        <xdr:cNvSpPr>
          <a:spLocks noChangeArrowheads="1"/>
        </xdr:cNvSpPr>
      </xdr:nvSpPr>
      <xdr:spPr bwMode="auto">
        <a:xfrm>
          <a:off x="552450" y="822007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76200</xdr:colOff>
      <xdr:row>48</xdr:row>
      <xdr:rowOff>57150</xdr:rowOff>
    </xdr:from>
    <xdr:to>
      <xdr:col>4</xdr:col>
      <xdr:colOff>295275</xdr:colOff>
      <xdr:row>48</xdr:row>
      <xdr:rowOff>247650</xdr:rowOff>
    </xdr:to>
    <xdr:sp macro="" textlink="">
      <xdr:nvSpPr>
        <xdr:cNvPr id="13" name="Rectangle 14">
          <a:extLst>
            <a:ext uri="{FF2B5EF4-FFF2-40B4-BE49-F238E27FC236}">
              <a16:creationId xmlns:a16="http://schemas.microsoft.com/office/drawing/2014/main" id="{77004DD8-11CA-4567-8640-DD05B23880EA}"/>
            </a:ext>
          </a:extLst>
        </xdr:cNvPr>
        <xdr:cNvSpPr>
          <a:spLocks noChangeArrowheads="1"/>
        </xdr:cNvSpPr>
      </xdr:nvSpPr>
      <xdr:spPr bwMode="auto">
        <a:xfrm>
          <a:off x="5829300" y="130492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76200</xdr:colOff>
      <xdr:row>49</xdr:row>
      <xdr:rowOff>57150</xdr:rowOff>
    </xdr:from>
    <xdr:to>
      <xdr:col>4</xdr:col>
      <xdr:colOff>295275</xdr:colOff>
      <xdr:row>49</xdr:row>
      <xdr:rowOff>247650</xdr:rowOff>
    </xdr:to>
    <xdr:sp macro="" textlink="">
      <xdr:nvSpPr>
        <xdr:cNvPr id="14" name="Rectangle 15">
          <a:extLst>
            <a:ext uri="{FF2B5EF4-FFF2-40B4-BE49-F238E27FC236}">
              <a16:creationId xmlns:a16="http://schemas.microsoft.com/office/drawing/2014/main" id="{2FAC647F-AD4F-4DC6-A986-281021F10B8B}"/>
            </a:ext>
          </a:extLst>
        </xdr:cNvPr>
        <xdr:cNvSpPr>
          <a:spLocks noChangeArrowheads="1"/>
        </xdr:cNvSpPr>
      </xdr:nvSpPr>
      <xdr:spPr bwMode="auto">
        <a:xfrm>
          <a:off x="5829300" y="134302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742949</xdr:colOff>
      <xdr:row>47</xdr:row>
      <xdr:rowOff>219076</xdr:rowOff>
    </xdr:from>
    <xdr:to>
      <xdr:col>5</xdr:col>
      <xdr:colOff>1000124</xdr:colOff>
      <xdr:row>49</xdr:row>
      <xdr:rowOff>219076</xdr:rowOff>
    </xdr:to>
    <xdr:grpSp>
      <xdr:nvGrpSpPr>
        <xdr:cNvPr id="15" name="Group 62">
          <a:extLst>
            <a:ext uri="{FF2B5EF4-FFF2-40B4-BE49-F238E27FC236}">
              <a16:creationId xmlns:a16="http://schemas.microsoft.com/office/drawing/2014/main" id="{2683D162-26C4-449A-A0AA-5702F70D55C5}"/>
            </a:ext>
          </a:extLst>
        </xdr:cNvPr>
        <xdr:cNvGrpSpPr>
          <a:grpSpLocks/>
        </xdr:cNvGrpSpPr>
      </xdr:nvGrpSpPr>
      <xdr:grpSpPr bwMode="auto">
        <a:xfrm>
          <a:off x="6807199" y="12188826"/>
          <a:ext cx="231775" cy="914400"/>
          <a:chOff x="594" y="1312"/>
          <a:chExt cx="23" cy="77"/>
        </a:xfrm>
      </xdr:grpSpPr>
      <xdr:sp macro="" textlink="">
        <xdr:nvSpPr>
          <xdr:cNvPr id="16" name="Rectangle 8">
            <a:extLst>
              <a:ext uri="{FF2B5EF4-FFF2-40B4-BE49-F238E27FC236}">
                <a16:creationId xmlns:a16="http://schemas.microsoft.com/office/drawing/2014/main" id="{08712360-3981-4509-8261-A813AC72B667}"/>
              </a:ext>
            </a:extLst>
          </xdr:cNvPr>
          <xdr:cNvSpPr>
            <a:spLocks noChangeArrowheads="1"/>
          </xdr:cNvSpPr>
        </xdr:nvSpPr>
        <xdr:spPr bwMode="auto">
          <a:xfrm>
            <a:off x="594" y="136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7" name="Rectangle 13">
            <a:extLst>
              <a:ext uri="{FF2B5EF4-FFF2-40B4-BE49-F238E27FC236}">
                <a16:creationId xmlns:a16="http://schemas.microsoft.com/office/drawing/2014/main" id="{D2DAA324-CF2A-43B5-A4C1-2B36BC111B7C}"/>
              </a:ext>
            </a:extLst>
          </xdr:cNvPr>
          <xdr:cNvSpPr>
            <a:spLocks noChangeArrowheads="1"/>
          </xdr:cNvSpPr>
        </xdr:nvSpPr>
        <xdr:spPr bwMode="auto">
          <a:xfrm>
            <a:off x="594" y="134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8" name="Rectangle 16">
            <a:extLst>
              <a:ext uri="{FF2B5EF4-FFF2-40B4-BE49-F238E27FC236}">
                <a16:creationId xmlns:a16="http://schemas.microsoft.com/office/drawing/2014/main" id="{00D2CC42-DF64-49D2-BBD0-1747C03682CD}"/>
              </a:ext>
            </a:extLst>
          </xdr:cNvPr>
          <xdr:cNvSpPr>
            <a:spLocks noChangeArrowheads="1"/>
          </xdr:cNvSpPr>
        </xdr:nvSpPr>
        <xdr:spPr bwMode="auto">
          <a:xfrm>
            <a:off x="594" y="1312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19050</xdr:colOff>
      <xdr:row>47</xdr:row>
      <xdr:rowOff>66675</xdr:rowOff>
    </xdr:from>
    <xdr:to>
      <xdr:col>7</xdr:col>
      <xdr:colOff>200025</xdr:colOff>
      <xdr:row>47</xdr:row>
      <xdr:rowOff>200025</xdr:rowOff>
    </xdr:to>
    <xdr:sp macro="" textlink="">
      <xdr:nvSpPr>
        <xdr:cNvPr id="19" name="AutoShape 17">
          <a:extLst>
            <a:ext uri="{FF2B5EF4-FFF2-40B4-BE49-F238E27FC236}">
              <a16:creationId xmlns:a16="http://schemas.microsoft.com/office/drawing/2014/main" id="{0406C352-280B-4985-B930-BAD075721C85}"/>
            </a:ext>
          </a:extLst>
        </xdr:cNvPr>
        <xdr:cNvSpPr>
          <a:spLocks noChangeArrowheads="1"/>
        </xdr:cNvSpPr>
      </xdr:nvSpPr>
      <xdr:spPr bwMode="auto">
        <a:xfrm>
          <a:off x="8505825" y="1252537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123825</xdr:colOff>
      <xdr:row>10</xdr:row>
      <xdr:rowOff>57150</xdr:rowOff>
    </xdr:from>
    <xdr:to>
      <xdr:col>3</xdr:col>
      <xdr:colOff>847725</xdr:colOff>
      <xdr:row>15</xdr:row>
      <xdr:rowOff>215900</xdr:rowOff>
    </xdr:to>
    <xdr:pic>
      <xdr:nvPicPr>
        <xdr:cNvPr id="20" name="Picture 75">
          <a:extLst>
            <a:ext uri="{FF2B5EF4-FFF2-40B4-BE49-F238E27FC236}">
              <a16:creationId xmlns:a16="http://schemas.microsoft.com/office/drawing/2014/main" id="{55020B6D-0111-4E76-80D7-8928655FE2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r="2351"/>
        <a:stretch>
          <a:fillRect/>
        </a:stretch>
      </xdr:blipFill>
      <xdr:spPr bwMode="auto">
        <a:xfrm>
          <a:off x="552450" y="2476500"/>
          <a:ext cx="3990975" cy="1549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266700</xdr:colOff>
      <xdr:row>17</xdr:row>
      <xdr:rowOff>285750</xdr:rowOff>
    </xdr:from>
    <xdr:to>
      <xdr:col>7</xdr:col>
      <xdr:colOff>1562903</xdr:colOff>
      <xdr:row>24</xdr:row>
      <xdr:rowOff>200025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5F447911-414D-434F-A605-30AEC177B1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r="2737"/>
        <a:stretch/>
      </xdr:blipFill>
      <xdr:spPr>
        <a:xfrm>
          <a:off x="6877050" y="4629150"/>
          <a:ext cx="3172628" cy="18383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1047750</xdr:colOff>
      <xdr:row>57</xdr:row>
      <xdr:rowOff>0</xdr:rowOff>
    </xdr:from>
    <xdr:to>
      <xdr:col>4</xdr:col>
      <xdr:colOff>1047750</xdr:colOff>
      <xdr:row>57</xdr:row>
      <xdr:rowOff>0</xdr:rowOff>
    </xdr:to>
    <xdr:sp macro="" textlink="">
      <xdr:nvSpPr>
        <xdr:cNvPr id="2" name="Line 4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ShapeType="1"/>
        </xdr:cNvSpPr>
      </xdr:nvSpPr>
      <xdr:spPr bwMode="auto">
        <a:xfrm>
          <a:off x="3533775" y="153828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76200</xdr:colOff>
      <xdr:row>48</xdr:row>
      <xdr:rowOff>57150</xdr:rowOff>
    </xdr:from>
    <xdr:to>
      <xdr:col>6</xdr:col>
      <xdr:colOff>295275</xdr:colOff>
      <xdr:row>48</xdr:row>
      <xdr:rowOff>247650</xdr:rowOff>
    </xdr:to>
    <xdr:sp macro="" textlink="">
      <xdr:nvSpPr>
        <xdr:cNvPr id="3" name="Rectangle 1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6286500" y="1276350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76200</xdr:colOff>
      <xdr:row>49</xdr:row>
      <xdr:rowOff>57150</xdr:rowOff>
    </xdr:from>
    <xdr:to>
      <xdr:col>6</xdr:col>
      <xdr:colOff>295275</xdr:colOff>
      <xdr:row>49</xdr:row>
      <xdr:rowOff>247650</xdr:rowOff>
    </xdr:to>
    <xdr:sp macro="" textlink="">
      <xdr:nvSpPr>
        <xdr:cNvPr id="4" name="Rectangle 1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rrowheads="1"/>
        </xdr:cNvSpPr>
      </xdr:nvSpPr>
      <xdr:spPr bwMode="auto">
        <a:xfrm>
          <a:off x="6286500" y="13173075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152400</xdr:colOff>
      <xdr:row>47</xdr:row>
      <xdr:rowOff>28575</xdr:rowOff>
    </xdr:from>
    <xdr:to>
      <xdr:col>7</xdr:col>
      <xdr:colOff>371475</xdr:colOff>
      <xdr:row>49</xdr:row>
      <xdr:rowOff>228600</xdr:rowOff>
    </xdr:to>
    <xdr:grpSp>
      <xdr:nvGrpSpPr>
        <xdr:cNvPr id="5" name="Group 6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>
          <a:grpSpLocks/>
        </xdr:cNvGrpSpPr>
      </xdr:nvGrpSpPr>
      <xdr:grpSpPr bwMode="auto">
        <a:xfrm>
          <a:off x="7245350" y="11985625"/>
          <a:ext cx="219075" cy="879475"/>
          <a:chOff x="594" y="1312"/>
          <a:chExt cx="23" cy="77"/>
        </a:xfrm>
      </xdr:grpSpPr>
      <xdr:sp macro="" textlink="">
        <xdr:nvSpPr>
          <xdr:cNvPr id="6" name="Rectangle 8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6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" name="Rectangle 13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4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" name="Rectangle 16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12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47</xdr:row>
      <xdr:rowOff>66675</xdr:rowOff>
    </xdr:from>
    <xdr:to>
      <xdr:col>8</xdr:col>
      <xdr:colOff>200025</xdr:colOff>
      <xdr:row>47</xdr:row>
      <xdr:rowOff>200025</xdr:rowOff>
    </xdr:to>
    <xdr:sp macro="" textlink="">
      <xdr:nvSpPr>
        <xdr:cNvPr id="9" name="AutoShape 1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rrowheads="1"/>
        </xdr:cNvSpPr>
      </xdr:nvSpPr>
      <xdr:spPr bwMode="auto">
        <a:xfrm>
          <a:off x="9572625" y="12496800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66675</xdr:colOff>
      <xdr:row>11</xdr:row>
      <xdr:rowOff>38100</xdr:rowOff>
    </xdr:from>
    <xdr:to>
      <xdr:col>8</xdr:col>
      <xdr:colOff>285750</xdr:colOff>
      <xdr:row>15</xdr:row>
      <xdr:rowOff>228600</xdr:rowOff>
    </xdr:to>
    <xdr:grpSp>
      <xdr:nvGrpSpPr>
        <xdr:cNvPr id="10" name="Group 28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>
          <a:grpSpLocks/>
        </xdr:cNvGrpSpPr>
      </xdr:nvGrpSpPr>
      <xdr:grpSpPr bwMode="auto">
        <a:xfrm>
          <a:off x="8829675" y="2711450"/>
          <a:ext cx="219075" cy="1206500"/>
          <a:chOff x="560" y="319"/>
          <a:chExt cx="23" cy="132"/>
        </a:xfrm>
      </xdr:grpSpPr>
      <xdr:sp macro="" textlink="">
        <xdr:nvSpPr>
          <xdr:cNvPr id="11" name="Rectangle 23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1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2" name="Rectangle 24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47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3" name="Rectangle 2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75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4" name="Rectangle 2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03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" name="Rectangle 2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3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7</xdr:col>
      <xdr:colOff>355600</xdr:colOff>
      <xdr:row>15</xdr:row>
      <xdr:rowOff>263525</xdr:rowOff>
    </xdr:from>
    <xdr:ext cx="787711" cy="314325"/>
    <xdr:sp macro="" textlink="">
      <xdr:nvSpPr>
        <xdr:cNvPr id="16" name="Text Box 31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>
          <a:spLocks noChangeArrowheads="1"/>
        </xdr:cNvSpPr>
      </xdr:nvSpPr>
      <xdr:spPr bwMode="auto">
        <a:xfrm>
          <a:off x="8089900" y="4073525"/>
          <a:ext cx="787711" cy="314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41148" rIns="0" bIns="0" anchor="t" upright="1">
          <a:spAutoFit/>
        </a:bodyPr>
        <a:lstStyle/>
        <a:p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Cordia New"/>
              <a:cs typeface="Cordia New"/>
            </a:rPr>
            <a:t>,Ac = 0 Re = 1</a:t>
          </a:r>
        </a:p>
      </xdr:txBody>
    </xdr:sp>
    <xdr:clientData/>
  </xdr:oneCellAnchor>
  <xdr:twoCellAnchor editAs="oneCell">
    <xdr:from>
      <xdr:col>6</xdr:col>
      <xdr:colOff>447675</xdr:colOff>
      <xdr:row>20</xdr:row>
      <xdr:rowOff>180975</xdr:rowOff>
    </xdr:from>
    <xdr:to>
      <xdr:col>6</xdr:col>
      <xdr:colOff>542925</xdr:colOff>
      <xdr:row>21</xdr:row>
      <xdr:rowOff>238125</xdr:rowOff>
    </xdr:to>
    <xdr:sp macro="" textlink="">
      <xdr:nvSpPr>
        <xdr:cNvPr id="17" name="Text Box 35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>
          <a:spLocks noChangeArrowheads="1"/>
        </xdr:cNvSpPr>
      </xdr:nvSpPr>
      <xdr:spPr bwMode="auto">
        <a:xfrm>
          <a:off x="6657975" y="5334000"/>
          <a:ext cx="95250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12</xdr:col>
      <xdr:colOff>158750</xdr:colOff>
      <xdr:row>16</xdr:row>
      <xdr:rowOff>85725</xdr:rowOff>
    </xdr:from>
    <xdr:ext cx="121315" cy="890244"/>
    <xdr:sp macro="" textlink="">
      <xdr:nvSpPr>
        <xdr:cNvPr id="18" name="Text Box 44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>
          <a:spLocks noChangeArrowheads="1"/>
        </xdr:cNvSpPr>
      </xdr:nvSpPr>
      <xdr:spPr bwMode="auto">
        <a:xfrm>
          <a:off x="12922250" y="4162425"/>
          <a:ext cx="121315" cy="89024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9144" tIns="36576" rIns="0" bIns="0" anchor="t" upright="1">
          <a:spAutoFit/>
        </a:bodyPr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Cordia New"/>
              <a:cs typeface="Cordia New"/>
            </a:rPr>
            <a:t>    </a:t>
          </a:r>
          <a:endParaRPr lang="th-TH" sz="12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r>
            <a:rPr lang="th-TH" sz="1200" b="0" i="0" strike="noStrike">
              <a:solidFill>
                <a:srgbClr val="000000"/>
              </a:solidFill>
              <a:latin typeface="Cordia New"/>
              <a:cs typeface="Cordia New"/>
            </a:rPr>
            <a:t>   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Cordia New"/>
              <a:cs typeface="Cordia New"/>
            </a:rPr>
            <a:t>   </a:t>
          </a:r>
          <a:endParaRPr lang="th-TH" sz="1200" b="0" i="0" strike="noStrike">
            <a:solidFill>
              <a:srgbClr val="000000"/>
            </a:solidFill>
            <a:latin typeface="Cordia New"/>
            <a:cs typeface="Cordia New"/>
          </a:endParaRPr>
        </a:p>
        <a:p>
          <a:pPr algn="l" rtl="0">
            <a:defRPr sz="1000"/>
          </a:pPr>
          <a:r>
            <a:rPr lang="th-TH" sz="1200" b="0" i="0" strike="noStrike">
              <a:solidFill>
                <a:srgbClr val="000000"/>
              </a:solidFill>
              <a:latin typeface="Cordia New"/>
              <a:cs typeface="Cordia New"/>
            </a:rPr>
            <a:t>    </a:t>
          </a:r>
        </a:p>
      </xdr:txBody>
    </xdr:sp>
    <xdr:clientData/>
  </xdr:oneCellAnchor>
  <xdr:oneCellAnchor>
    <xdr:from>
      <xdr:col>8</xdr:col>
      <xdr:colOff>495300</xdr:colOff>
      <xdr:row>30</xdr:row>
      <xdr:rowOff>28575</xdr:rowOff>
    </xdr:from>
    <xdr:ext cx="777875" cy="263525"/>
    <xdr:sp macro="" textlink="">
      <xdr:nvSpPr>
        <xdr:cNvPr id="19" name="Text Box 60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>
          <a:spLocks noChangeArrowheads="1"/>
        </xdr:cNvSpPr>
      </xdr:nvSpPr>
      <xdr:spPr bwMode="auto">
        <a:xfrm>
          <a:off x="10048875" y="7886700"/>
          <a:ext cx="777875" cy="263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18288" tIns="41148" rIns="0" bIns="0" anchor="t" upright="1">
          <a:noAutofit/>
        </a:bodyPr>
        <a:lstStyle/>
        <a:p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Cordia New"/>
              <a:cs typeface="Cordia New"/>
            </a:rPr>
            <a:t>5 secondes</a:t>
          </a:r>
        </a:p>
      </xdr:txBody>
    </xdr:sp>
    <xdr:clientData/>
  </xdr:oneCellAnchor>
  <xdr:twoCellAnchor>
    <xdr:from>
      <xdr:col>4</xdr:col>
      <xdr:colOff>123825</xdr:colOff>
      <xdr:row>31</xdr:row>
      <xdr:rowOff>57150</xdr:rowOff>
    </xdr:from>
    <xdr:to>
      <xdr:col>4</xdr:col>
      <xdr:colOff>304800</xdr:colOff>
      <xdr:row>31</xdr:row>
      <xdr:rowOff>190500</xdr:rowOff>
    </xdr:to>
    <xdr:sp macro="" textlink="">
      <xdr:nvSpPr>
        <xdr:cNvPr id="20" name="AutoShape 7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Arrowheads="1"/>
        </xdr:cNvSpPr>
      </xdr:nvSpPr>
      <xdr:spPr bwMode="auto">
        <a:xfrm>
          <a:off x="2609850" y="8191500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10</xdr:row>
      <xdr:rowOff>85725</xdr:rowOff>
    </xdr:from>
    <xdr:to>
      <xdr:col>5</xdr:col>
      <xdr:colOff>1114425</xdr:colOff>
      <xdr:row>15</xdr:row>
      <xdr:rowOff>180975</xdr:rowOff>
    </xdr:to>
    <xdr:pic>
      <xdr:nvPicPr>
        <xdr:cNvPr id="21" name="Picture 76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r="2351"/>
        <a:stretch>
          <a:fillRect/>
        </a:stretch>
      </xdr:blipFill>
      <xdr:spPr bwMode="auto">
        <a:xfrm>
          <a:off x="180975" y="2505075"/>
          <a:ext cx="5114925" cy="1485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6</xdr:col>
      <xdr:colOff>1057275</xdr:colOff>
      <xdr:row>5</xdr:row>
      <xdr:rowOff>0</xdr:rowOff>
    </xdr:from>
    <xdr:ext cx="121761" cy="323850"/>
    <xdr:sp macro="" textlink="">
      <xdr:nvSpPr>
        <xdr:cNvPr id="22" name="Text Box 18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>
          <a:spLocks noChangeArrowheads="1"/>
        </xdr:cNvSpPr>
      </xdr:nvSpPr>
      <xdr:spPr bwMode="auto">
        <a:xfrm>
          <a:off x="7267575" y="1238250"/>
          <a:ext cx="121761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9144" tIns="36576" rIns="0" bIns="0" anchor="t" upright="1">
          <a:spAutoFit/>
        </a:bodyPr>
        <a:lstStyle/>
        <a:p>
          <a:pPr algn="l" rtl="0">
            <a:defRPr sz="1000"/>
          </a:pPr>
          <a:r>
            <a:rPr lang="en-US" sz="1400" b="0" i="0" strike="noStrike" baseline="30000">
              <a:solidFill>
                <a:srgbClr val="000000"/>
              </a:solidFill>
              <a:latin typeface="Angsana New"/>
              <a:cs typeface="Angsana New"/>
            </a:rPr>
            <a:t>o</a:t>
          </a:r>
          <a:r>
            <a:rPr lang="en-US" sz="1400" b="0" i="0" strike="noStrike">
              <a:solidFill>
                <a:srgbClr val="000000"/>
              </a:solidFill>
              <a:latin typeface="Angsana New"/>
              <a:cs typeface="Angsana New"/>
            </a:rPr>
            <a:t>C</a:t>
          </a:r>
        </a:p>
      </xdr:txBody>
    </xdr:sp>
    <xdr:clientData/>
  </xdr:oneCellAnchor>
  <xdr:oneCellAnchor>
    <xdr:from>
      <xdr:col>6</xdr:col>
      <xdr:colOff>1076325</xdr:colOff>
      <xdr:row>6</xdr:row>
      <xdr:rowOff>0</xdr:rowOff>
    </xdr:from>
    <xdr:ext cx="112568" cy="304800"/>
    <xdr:sp macro="" textlink="">
      <xdr:nvSpPr>
        <xdr:cNvPr id="23" name="Text Box 19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>
          <a:spLocks noChangeArrowheads="1"/>
        </xdr:cNvSpPr>
      </xdr:nvSpPr>
      <xdr:spPr bwMode="auto">
        <a:xfrm>
          <a:off x="7286625" y="1504950"/>
          <a:ext cx="112568" cy="304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36576" rIns="0" bIns="0" anchor="t" upright="1">
          <a:spAutoFit/>
        </a:bodyPr>
        <a:lstStyle/>
        <a:p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ngsana New"/>
              <a:cs typeface="Angsana New"/>
            </a:rPr>
            <a:t>%</a:t>
          </a:r>
        </a:p>
      </xdr:txBody>
    </xdr:sp>
    <xdr:clientData/>
  </xdr:oneCellAnchor>
  <xdr:twoCellAnchor>
    <xdr:from>
      <xdr:col>0</xdr:col>
      <xdr:colOff>66675</xdr:colOff>
      <xdr:row>1</xdr:row>
      <xdr:rowOff>104775</xdr:rowOff>
    </xdr:from>
    <xdr:to>
      <xdr:col>2</xdr:col>
      <xdr:colOff>114300</xdr:colOff>
      <xdr:row>2</xdr:row>
      <xdr:rowOff>246308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6675" y="266700"/>
          <a:ext cx="1219200" cy="360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66675</xdr:colOff>
      <xdr:row>18</xdr:row>
      <xdr:rowOff>95250</xdr:rowOff>
    </xdr:from>
    <xdr:to>
      <xdr:col>8</xdr:col>
      <xdr:colOff>1552575</xdr:colOff>
      <xdr:row>25</xdr:row>
      <xdr:rowOff>161925</xdr:rowOff>
    </xdr:to>
    <xdr:pic>
      <xdr:nvPicPr>
        <xdr:cNvPr id="25" name="Picture 548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l="65503" t="26389" r="11102" b="56667"/>
        <a:stretch>
          <a:fillRect/>
        </a:stretch>
      </xdr:blipFill>
      <xdr:spPr bwMode="auto">
        <a:xfrm>
          <a:off x="7800975" y="4714875"/>
          <a:ext cx="3305175" cy="19335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6C154-CAA4-448D-BCB2-64FFB19E47E3}">
  <sheetPr codeName="Sheet3"/>
  <dimension ref="A1:I51"/>
  <sheetViews>
    <sheetView showGridLines="0" zoomScaleNormal="100" workbookViewId="0">
      <selection activeCell="K4" sqref="K4"/>
    </sheetView>
  </sheetViews>
  <sheetFormatPr defaultColWidth="9" defaultRowHeight="20"/>
  <cols>
    <col min="1" max="1" width="5.6328125" style="100" customWidth="1"/>
    <col min="2" max="2" width="23" style="100" customWidth="1"/>
    <col min="3" max="3" width="19.90625" style="100" customWidth="1"/>
    <col min="4" max="4" width="27" style="100" customWidth="1"/>
    <col min="5" max="5" width="11.26953125" style="100" customWidth="1"/>
    <col min="6" max="6" width="13.90625" style="100" customWidth="1"/>
    <col min="7" max="7" width="10.7265625" style="100" customWidth="1"/>
    <col min="8" max="8" width="23.7265625" style="100" customWidth="1"/>
    <col min="9" max="16384" width="9" style="100"/>
  </cols>
  <sheetData>
    <row r="1" spans="1:8" ht="12.75" customHeight="1">
      <c r="H1" s="101"/>
    </row>
    <row r="2" spans="1:8" ht="17.25" customHeight="1">
      <c r="E2" s="159" t="s">
        <v>0</v>
      </c>
      <c r="F2" s="160"/>
      <c r="G2" s="159" t="s">
        <v>1</v>
      </c>
      <c r="H2" s="160"/>
    </row>
    <row r="3" spans="1:8" ht="23.25" customHeight="1">
      <c r="C3" s="161" t="s">
        <v>2</v>
      </c>
      <c r="D3" s="162"/>
      <c r="E3" s="163" t="s">
        <v>251</v>
      </c>
      <c r="F3" s="164"/>
      <c r="G3" s="163" t="str">
        <f>IF(AND(A49=""),"",IF(AND(A49="PASS"),"Thidarak",""))</f>
        <v/>
      </c>
      <c r="H3" s="164"/>
    </row>
    <row r="4" spans="1:8" ht="23">
      <c r="A4" s="165" t="s">
        <v>3</v>
      </c>
      <c r="B4" s="165"/>
      <c r="C4" s="165"/>
      <c r="D4" s="166"/>
      <c r="E4" s="167" t="s">
        <v>252</v>
      </c>
      <c r="F4" s="168"/>
      <c r="G4" s="167" t="s">
        <v>179</v>
      </c>
      <c r="H4" s="168"/>
    </row>
    <row r="5" spans="1:8">
      <c r="A5" s="102" t="s">
        <v>4</v>
      </c>
      <c r="B5" s="103"/>
      <c r="C5" s="104" t="s">
        <v>175</v>
      </c>
      <c r="D5" s="102" t="s">
        <v>5</v>
      </c>
      <c r="E5" s="169" t="s">
        <v>179</v>
      </c>
      <c r="F5" s="170"/>
      <c r="G5" s="170"/>
      <c r="H5" s="171"/>
    </row>
    <row r="6" spans="1:8">
      <c r="A6" s="102" t="s">
        <v>6</v>
      </c>
      <c r="B6" s="103"/>
      <c r="C6" s="104" t="s">
        <v>176</v>
      </c>
      <c r="D6" s="102" t="s">
        <v>7</v>
      </c>
      <c r="E6" s="102" t="s">
        <v>180</v>
      </c>
      <c r="F6" s="105" t="s">
        <v>277</v>
      </c>
      <c r="G6" s="106" t="s">
        <v>278</v>
      </c>
      <c r="H6" s="107" t="s">
        <v>182</v>
      </c>
    </row>
    <row r="7" spans="1:8">
      <c r="A7" s="102" t="s">
        <v>8</v>
      </c>
      <c r="B7" s="103"/>
      <c r="C7" s="108" t="s">
        <v>174</v>
      </c>
      <c r="D7" s="102" t="s">
        <v>9</v>
      </c>
      <c r="E7" s="102" t="s">
        <v>181</v>
      </c>
      <c r="F7" s="105" t="s">
        <v>279</v>
      </c>
      <c r="G7" s="106" t="s">
        <v>280</v>
      </c>
      <c r="H7" s="109" t="s">
        <v>183</v>
      </c>
    </row>
    <row r="8" spans="1:8">
      <c r="A8" s="102" t="s">
        <v>188</v>
      </c>
      <c r="B8" s="110"/>
      <c r="C8" s="108" t="s">
        <v>178</v>
      </c>
      <c r="D8" s="111" t="s">
        <v>187</v>
      </c>
      <c r="E8" s="172" t="s">
        <v>253</v>
      </c>
      <c r="F8" s="173"/>
      <c r="G8" s="173"/>
      <c r="H8" s="174"/>
    </row>
    <row r="9" spans="1:8" ht="14.25" customHeight="1">
      <c r="A9" s="100" t="s">
        <v>10</v>
      </c>
      <c r="F9" s="112"/>
      <c r="G9" s="112"/>
    </row>
    <row r="10" spans="1:8" ht="15.75" customHeight="1">
      <c r="A10" s="175" t="s">
        <v>11</v>
      </c>
      <c r="B10" s="176"/>
      <c r="C10" s="176"/>
      <c r="D10" s="177"/>
      <c r="E10" s="172" t="s">
        <v>12</v>
      </c>
      <c r="F10" s="174"/>
      <c r="G10" s="172" t="s">
        <v>13</v>
      </c>
      <c r="H10" s="174"/>
    </row>
    <row r="11" spans="1:8" ht="25.5" customHeight="1">
      <c r="A11" s="113"/>
      <c r="D11" s="114"/>
      <c r="E11" s="157" t="s">
        <v>189</v>
      </c>
      <c r="F11" s="158"/>
      <c r="G11" s="157" t="str">
        <f>IF(AND(A49=""),"",IF(AND(A49="PASS"),"Good","NG"))</f>
        <v/>
      </c>
      <c r="H11" s="158"/>
    </row>
    <row r="12" spans="1:8">
      <c r="A12" s="115"/>
      <c r="D12" s="114"/>
      <c r="E12" s="178" t="s">
        <v>254</v>
      </c>
      <c r="F12" s="179"/>
      <c r="G12" s="180" t="s">
        <v>14</v>
      </c>
      <c r="H12" s="181"/>
    </row>
    <row r="13" spans="1:8">
      <c r="A13" s="115"/>
      <c r="D13" s="114"/>
      <c r="E13" s="178" t="s">
        <v>255</v>
      </c>
      <c r="F13" s="179"/>
      <c r="G13" s="180" t="s">
        <v>15</v>
      </c>
      <c r="H13" s="181"/>
    </row>
    <row r="14" spans="1:8">
      <c r="A14" s="115"/>
      <c r="D14" s="114"/>
      <c r="E14" s="178" t="s">
        <v>256</v>
      </c>
      <c r="F14" s="179"/>
      <c r="G14" s="180" t="s">
        <v>16</v>
      </c>
      <c r="H14" s="181"/>
    </row>
    <row r="15" spans="1:8">
      <c r="A15" s="115"/>
      <c r="D15" s="114"/>
      <c r="E15" s="178" t="s">
        <v>257</v>
      </c>
      <c r="F15" s="179"/>
      <c r="G15" s="180" t="s">
        <v>17</v>
      </c>
      <c r="H15" s="181"/>
    </row>
    <row r="16" spans="1:8">
      <c r="A16" s="116"/>
      <c r="B16" s="117"/>
      <c r="C16" s="117"/>
      <c r="D16" s="118"/>
      <c r="E16" s="183" t="s">
        <v>258</v>
      </c>
      <c r="F16" s="184"/>
      <c r="G16" s="185" t="s">
        <v>18</v>
      </c>
      <c r="H16" s="186"/>
    </row>
    <row r="17" spans="1:8">
      <c r="A17" s="100" t="s">
        <v>19</v>
      </c>
      <c r="E17" s="100" t="s">
        <v>190</v>
      </c>
      <c r="F17" s="119"/>
      <c r="G17" s="119"/>
    </row>
    <row r="18" spans="1:8" ht="25.5" customHeight="1">
      <c r="A18" s="120" t="s">
        <v>184</v>
      </c>
      <c r="B18" s="103"/>
      <c r="C18" s="121" t="s">
        <v>55</v>
      </c>
      <c r="D18" s="122" t="s">
        <v>281</v>
      </c>
      <c r="E18" s="121" t="s">
        <v>55</v>
      </c>
      <c r="F18" s="187"/>
      <c r="G18" s="188"/>
      <c r="H18" s="189"/>
    </row>
    <row r="19" spans="1:8">
      <c r="A19" s="123" t="s">
        <v>282</v>
      </c>
      <c r="B19" s="124"/>
      <c r="C19" s="125" t="s">
        <v>191</v>
      </c>
      <c r="D19" s="126" t="s">
        <v>65</v>
      </c>
      <c r="E19" s="127" t="s">
        <v>259</v>
      </c>
      <c r="F19" s="128"/>
      <c r="G19" s="129"/>
      <c r="H19" s="130"/>
    </row>
    <row r="20" spans="1:8">
      <c r="A20" s="131" t="s">
        <v>49</v>
      </c>
      <c r="B20" s="114"/>
      <c r="C20" s="115" t="s">
        <v>192</v>
      </c>
      <c r="D20" s="132" t="s">
        <v>66</v>
      </c>
      <c r="E20" s="127"/>
      <c r="F20" s="128"/>
      <c r="G20" s="129"/>
      <c r="H20" s="130"/>
    </row>
    <row r="21" spans="1:8">
      <c r="A21" s="131" t="s">
        <v>50</v>
      </c>
      <c r="B21" s="114"/>
      <c r="C21" s="115" t="s">
        <v>193</v>
      </c>
      <c r="D21" s="132" t="s">
        <v>283</v>
      </c>
      <c r="E21" s="127"/>
      <c r="F21" s="128"/>
      <c r="G21" s="129"/>
      <c r="H21" s="130"/>
    </row>
    <row r="22" spans="1:8">
      <c r="A22" s="131" t="s">
        <v>51</v>
      </c>
      <c r="B22" s="114"/>
      <c r="C22" s="115" t="s">
        <v>194</v>
      </c>
      <c r="D22" s="132" t="s">
        <v>67</v>
      </c>
      <c r="E22" s="127" t="s">
        <v>208</v>
      </c>
      <c r="F22" s="128"/>
      <c r="G22" s="129"/>
      <c r="H22" s="130"/>
    </row>
    <row r="23" spans="1:8">
      <c r="A23" s="131" t="s">
        <v>52</v>
      </c>
      <c r="B23" s="114"/>
      <c r="C23" s="115" t="s">
        <v>195</v>
      </c>
      <c r="D23" s="132" t="s">
        <v>284</v>
      </c>
      <c r="E23" s="127"/>
      <c r="F23" s="128"/>
      <c r="G23" s="129"/>
      <c r="H23" s="130"/>
    </row>
    <row r="24" spans="1:8">
      <c r="A24" s="131" t="s">
        <v>53</v>
      </c>
      <c r="B24" s="114"/>
      <c r="C24" s="115" t="s">
        <v>196</v>
      </c>
      <c r="D24" s="132" t="s">
        <v>68</v>
      </c>
      <c r="E24" s="127" t="s">
        <v>209</v>
      </c>
      <c r="F24" s="128"/>
      <c r="G24" s="129"/>
      <c r="H24" s="130"/>
    </row>
    <row r="25" spans="1:8">
      <c r="A25" s="131" t="s">
        <v>54</v>
      </c>
      <c r="B25" s="114"/>
      <c r="C25" s="115" t="s">
        <v>197</v>
      </c>
      <c r="D25" s="132" t="s">
        <v>285</v>
      </c>
      <c r="E25" s="127"/>
      <c r="F25" s="128"/>
      <c r="G25" s="129"/>
      <c r="H25" s="130"/>
    </row>
    <row r="26" spans="1:8" ht="21" customHeight="1">
      <c r="A26" s="133" t="s">
        <v>286</v>
      </c>
      <c r="B26" s="118"/>
      <c r="C26" s="116"/>
      <c r="D26" s="134" t="s">
        <v>287</v>
      </c>
      <c r="E26" s="135" t="s">
        <v>226</v>
      </c>
      <c r="F26" s="136"/>
      <c r="G26" s="137"/>
      <c r="H26" s="138"/>
    </row>
    <row r="27" spans="1:8" ht="22.5" customHeight="1">
      <c r="A27" s="182" t="s">
        <v>20</v>
      </c>
      <c r="B27" s="172"/>
      <c r="C27" s="139" t="str">
        <f>IF(AND(A49=""),"",IF(AND(A49="PASS"),"Good","NG"))</f>
        <v/>
      </c>
      <c r="D27" s="104" t="s">
        <v>21</v>
      </c>
      <c r="E27" s="140"/>
      <c r="F27" s="141" t="s">
        <v>260</v>
      </c>
      <c r="G27" s="141" t="s">
        <v>288</v>
      </c>
      <c r="H27" s="142" t="s">
        <v>22</v>
      </c>
    </row>
    <row r="28" spans="1:8" ht="21.75" customHeight="1">
      <c r="A28" s="190" t="s">
        <v>23</v>
      </c>
      <c r="B28" s="191"/>
      <c r="C28" s="191"/>
      <c r="D28" s="191"/>
      <c r="E28" s="191"/>
      <c r="F28" s="191"/>
      <c r="G28" s="191"/>
      <c r="H28" s="192"/>
    </row>
    <row r="29" spans="1:8" s="145" customFormat="1">
      <c r="A29" s="193" t="s">
        <v>24</v>
      </c>
      <c r="B29" s="194"/>
      <c r="C29" s="143" t="s">
        <v>25</v>
      </c>
      <c r="D29" s="143" t="s">
        <v>56</v>
      </c>
      <c r="E29" s="143"/>
      <c r="F29" s="143" t="s">
        <v>26</v>
      </c>
      <c r="G29" s="143"/>
      <c r="H29" s="144" t="s">
        <v>27</v>
      </c>
    </row>
    <row r="30" spans="1:8" s="145" customFormat="1">
      <c r="A30" s="100" t="s">
        <v>28</v>
      </c>
      <c r="F30" s="146"/>
      <c r="G30" s="146"/>
      <c r="H30" s="147"/>
    </row>
    <row r="31" spans="1:8" s="145" customFormat="1">
      <c r="A31" s="148" t="s">
        <v>29</v>
      </c>
      <c r="B31" s="182" t="s">
        <v>30</v>
      </c>
      <c r="C31" s="182"/>
      <c r="D31" s="148" t="s">
        <v>31</v>
      </c>
      <c r="E31" s="182" t="s">
        <v>289</v>
      </c>
      <c r="F31" s="182"/>
      <c r="G31" s="182"/>
    </row>
    <row r="32" spans="1:8" s="145" customFormat="1">
      <c r="A32" s="148" t="s">
        <v>32</v>
      </c>
      <c r="B32" s="148" t="s">
        <v>33</v>
      </c>
      <c r="C32" s="148" t="s">
        <v>34</v>
      </c>
      <c r="D32" s="149" t="s">
        <v>35</v>
      </c>
      <c r="E32" s="182" t="s">
        <v>57</v>
      </c>
      <c r="F32" s="182"/>
      <c r="G32" s="182"/>
    </row>
    <row r="33" spans="1:9" s="145" customFormat="1">
      <c r="A33" s="148" t="s">
        <v>36</v>
      </c>
      <c r="B33" s="148" t="s">
        <v>38</v>
      </c>
      <c r="C33" s="148" t="s">
        <v>37</v>
      </c>
      <c r="D33" s="149" t="s">
        <v>39</v>
      </c>
      <c r="E33" s="182" t="s">
        <v>58</v>
      </c>
      <c r="F33" s="182"/>
      <c r="G33" s="182"/>
    </row>
    <row r="34" spans="1:9" s="145" customFormat="1">
      <c r="A34" s="148" t="s">
        <v>40</v>
      </c>
      <c r="B34" s="148" t="s">
        <v>41</v>
      </c>
      <c r="C34" s="148" t="s">
        <v>42</v>
      </c>
      <c r="D34" s="149" t="s">
        <v>244</v>
      </c>
      <c r="E34" s="182" t="s">
        <v>59</v>
      </c>
      <c r="F34" s="182"/>
      <c r="G34" s="182"/>
    </row>
    <row r="35" spans="1:9" s="145" customFormat="1">
      <c r="A35" s="148">
        <v>1</v>
      </c>
      <c r="B35" s="150" t="s">
        <v>210</v>
      </c>
      <c r="C35" s="150" t="s">
        <v>215</v>
      </c>
      <c r="D35" s="151" t="s">
        <v>220</v>
      </c>
      <c r="E35" s="182" t="s">
        <v>58</v>
      </c>
      <c r="F35" s="182"/>
      <c r="G35" s="182"/>
    </row>
    <row r="36" spans="1:9" s="145" customFormat="1">
      <c r="A36" s="148">
        <v>2</v>
      </c>
      <c r="B36" s="150" t="s">
        <v>211</v>
      </c>
      <c r="C36" s="150" t="s">
        <v>216</v>
      </c>
      <c r="D36" s="151" t="s">
        <v>221</v>
      </c>
      <c r="E36" s="182" t="s">
        <v>58</v>
      </c>
      <c r="F36" s="182"/>
      <c r="G36" s="182"/>
    </row>
    <row r="37" spans="1:9" s="145" customFormat="1">
      <c r="A37" s="148">
        <v>3</v>
      </c>
      <c r="B37" s="150" t="s">
        <v>212</v>
      </c>
      <c r="C37" s="150" t="s">
        <v>217</v>
      </c>
      <c r="D37" s="151" t="s">
        <v>222</v>
      </c>
      <c r="E37" s="182" t="s">
        <v>58</v>
      </c>
      <c r="F37" s="182"/>
      <c r="G37" s="182"/>
    </row>
    <row r="38" spans="1:9" s="145" customFormat="1">
      <c r="A38" s="148">
        <v>4</v>
      </c>
      <c r="B38" s="150" t="s">
        <v>213</v>
      </c>
      <c r="C38" s="150" t="s">
        <v>218</v>
      </c>
      <c r="D38" s="151" t="s">
        <v>223</v>
      </c>
      <c r="E38" s="182" t="s">
        <v>58</v>
      </c>
      <c r="F38" s="182"/>
      <c r="G38" s="182"/>
    </row>
    <row r="39" spans="1:9" s="145" customFormat="1">
      <c r="A39" s="148">
        <v>5</v>
      </c>
      <c r="B39" s="150" t="s">
        <v>214</v>
      </c>
      <c r="C39" s="150" t="s">
        <v>219</v>
      </c>
      <c r="D39" s="151" t="s">
        <v>224</v>
      </c>
      <c r="E39" s="182" t="s">
        <v>58</v>
      </c>
      <c r="F39" s="182"/>
      <c r="G39" s="182"/>
    </row>
    <row r="40" spans="1:9" s="145" customFormat="1">
      <c r="A40" s="148">
        <v>6</v>
      </c>
      <c r="B40" s="150" t="s">
        <v>261</v>
      </c>
      <c r="C40" s="150" t="s">
        <v>266</v>
      </c>
      <c r="D40" s="151" t="s">
        <v>271</v>
      </c>
      <c r="E40" s="182" t="s">
        <v>58</v>
      </c>
      <c r="F40" s="182"/>
      <c r="G40" s="182"/>
    </row>
    <row r="41" spans="1:9" s="145" customFormat="1">
      <c r="A41" s="148">
        <v>7</v>
      </c>
      <c r="B41" s="150" t="s">
        <v>262</v>
      </c>
      <c r="C41" s="150" t="s">
        <v>267</v>
      </c>
      <c r="D41" s="151" t="s">
        <v>272</v>
      </c>
      <c r="E41" s="182" t="s">
        <v>58</v>
      </c>
      <c r="F41" s="182"/>
      <c r="G41" s="182"/>
    </row>
    <row r="42" spans="1:9" s="145" customFormat="1">
      <c r="A42" s="148">
        <v>8</v>
      </c>
      <c r="B42" s="150" t="s">
        <v>263</v>
      </c>
      <c r="C42" s="150" t="s">
        <v>268</v>
      </c>
      <c r="D42" s="151" t="s">
        <v>273</v>
      </c>
      <c r="E42" s="182" t="s">
        <v>58</v>
      </c>
      <c r="F42" s="182"/>
      <c r="G42" s="182"/>
    </row>
    <row r="43" spans="1:9" s="145" customFormat="1">
      <c r="A43" s="148">
        <v>9</v>
      </c>
      <c r="B43" s="150" t="s">
        <v>264</v>
      </c>
      <c r="C43" s="150" t="s">
        <v>269</v>
      </c>
      <c r="D43" s="151" t="s">
        <v>274</v>
      </c>
      <c r="E43" s="182" t="s">
        <v>58</v>
      </c>
      <c r="F43" s="182"/>
      <c r="G43" s="182"/>
    </row>
    <row r="44" spans="1:9" s="145" customFormat="1" ht="20.5" thickBot="1">
      <c r="A44" s="152">
        <v>10</v>
      </c>
      <c r="B44" s="150" t="s">
        <v>265</v>
      </c>
      <c r="C44" s="150" t="s">
        <v>270</v>
      </c>
      <c r="D44" s="151" t="s">
        <v>275</v>
      </c>
      <c r="E44" s="198" t="s">
        <v>58</v>
      </c>
      <c r="F44" s="198"/>
      <c r="G44" s="198"/>
    </row>
    <row r="45" spans="1:9" ht="20.5" thickBot="1">
      <c r="A45" s="153" t="s">
        <v>43</v>
      </c>
      <c r="B45" s="153" t="str">
        <f>IF(SUM(B35:B44)&gt;0,IF(OR(MIN(B35:B44)&lt;100,MAX(B35:B44)&gt;100000000),"1","0"),"")</f>
        <v/>
      </c>
      <c r="C45" s="153" t="str">
        <f>IF(SUM(C35:C44)&gt;0,IF(OR(MIN(C35:C44)&lt;2040,MAX(C35:C44)&gt;3060),"1","0"),"")</f>
        <v/>
      </c>
      <c r="D45" s="154" t="str">
        <f>IF(SUM(D35:D44)&gt;0,IF(OR(MIN(D35:D44)&lt;39.7,MAX(D35:D44)&gt;41.3),"1","0"),"")</f>
        <v/>
      </c>
      <c r="E45" s="195" t="s">
        <v>58</v>
      </c>
      <c r="F45" s="196"/>
      <c r="G45" s="197"/>
    </row>
    <row r="46" spans="1:9" ht="20.5" thickBot="1">
      <c r="A46" s="153" t="s">
        <v>44</v>
      </c>
      <c r="B46" s="153" t="str">
        <f>IF(SUM(B35:B44)&gt;0,IF(OR(MIN(B35:B44)&lt;100,MAX(B35:B44)&gt;100000000),"NG","G"),"")</f>
        <v/>
      </c>
      <c r="C46" s="153" t="str">
        <f>IF(SUM(C35:C44)&gt;0,IF(OR(MIN(C35:C44)&lt;2040,MAX(C35:C44)&gt;3060),"NG","G"),"")</f>
        <v/>
      </c>
      <c r="D46" s="154" t="str">
        <f>IF(SUM(D35:D44)&gt;0,IF(OR(MIN(D35:D44)&lt;39.7,MAX(D35:D44)&gt;41.3),"NG","G"),"")</f>
        <v/>
      </c>
      <c r="E46" s="199" t="s">
        <v>58</v>
      </c>
      <c r="F46" s="200"/>
      <c r="G46" s="201"/>
    </row>
    <row r="47" spans="1:9">
      <c r="A47" s="100" t="s">
        <v>45</v>
      </c>
    </row>
    <row r="48" spans="1:9" ht="42" customHeight="1">
      <c r="A48" s="182" t="s">
        <v>13</v>
      </c>
      <c r="B48" s="182"/>
      <c r="C48" s="202" t="s">
        <v>290</v>
      </c>
      <c r="D48" s="203"/>
      <c r="E48" s="155" t="s">
        <v>291</v>
      </c>
      <c r="F48" s="156"/>
      <c r="G48" s="156" t="s">
        <v>292</v>
      </c>
      <c r="H48" s="125" t="s">
        <v>46</v>
      </c>
      <c r="I48" s="115"/>
    </row>
    <row r="49" spans="1:9" ht="30" customHeight="1">
      <c r="A49" s="204" t="str">
        <f>IF(AND(B46="",C46="",D46=""),"",IF(AND(B46="G",C46="G",D46="G"),"PASS","NG"))</f>
        <v/>
      </c>
      <c r="B49" s="205"/>
      <c r="C49" s="210" t="str">
        <f>CONCATENATE("*",C50,"*")</f>
        <v>*#6#*</v>
      </c>
      <c r="D49" s="211"/>
      <c r="E49" s="115" t="s">
        <v>61</v>
      </c>
      <c r="G49" s="100" t="s">
        <v>293</v>
      </c>
      <c r="H49" s="115" t="s">
        <v>47</v>
      </c>
      <c r="I49" s="115"/>
    </row>
    <row r="50" spans="1:9" ht="20.25" customHeight="1">
      <c r="A50" s="206"/>
      <c r="B50" s="207"/>
      <c r="C50" s="212" t="s">
        <v>173</v>
      </c>
      <c r="D50" s="213"/>
      <c r="E50" s="115" t="s">
        <v>63</v>
      </c>
      <c r="G50" s="100" t="s">
        <v>294</v>
      </c>
      <c r="H50" s="115"/>
      <c r="I50" s="115"/>
    </row>
    <row r="51" spans="1:9" ht="16.5" customHeight="1">
      <c r="A51" s="208"/>
      <c r="B51" s="209"/>
      <c r="C51" s="214"/>
      <c r="D51" s="215"/>
      <c r="E51" s="116" t="s">
        <v>48</v>
      </c>
      <c r="F51" s="117" t="s">
        <v>276</v>
      </c>
      <c r="G51" s="118"/>
      <c r="H51" s="116"/>
      <c r="I51" s="115"/>
    </row>
  </sheetData>
  <mergeCells count="51">
    <mergeCell ref="E46:G46"/>
    <mergeCell ref="A48:B48"/>
    <mergeCell ref="C48:D48"/>
    <mergeCell ref="A49:B51"/>
    <mergeCell ref="C49:D49"/>
    <mergeCell ref="C50:D51"/>
    <mergeCell ref="E45:G45"/>
    <mergeCell ref="E34:G34"/>
    <mergeCell ref="E35:G35"/>
    <mergeCell ref="E36:G36"/>
    <mergeCell ref="E37:G37"/>
    <mergeCell ref="E38:G38"/>
    <mergeCell ref="E39:G39"/>
    <mergeCell ref="E40:G40"/>
    <mergeCell ref="E41:G41"/>
    <mergeCell ref="E42:G42"/>
    <mergeCell ref="E43:G43"/>
    <mergeCell ref="E44:G44"/>
    <mergeCell ref="E33:G33"/>
    <mergeCell ref="E15:F15"/>
    <mergeCell ref="G15:H15"/>
    <mergeCell ref="E16:F16"/>
    <mergeCell ref="G16:H16"/>
    <mergeCell ref="F18:H18"/>
    <mergeCell ref="A28:H28"/>
    <mergeCell ref="A29:B29"/>
    <mergeCell ref="B31:C31"/>
    <mergeCell ref="E31:G31"/>
    <mergeCell ref="E32:G32"/>
    <mergeCell ref="A27:B27"/>
    <mergeCell ref="E12:F12"/>
    <mergeCell ref="G12:H12"/>
    <mergeCell ref="E13:F13"/>
    <mergeCell ref="G13:H13"/>
    <mergeCell ref="E14:F14"/>
    <mergeCell ref="G14:H14"/>
    <mergeCell ref="E11:F11"/>
    <mergeCell ref="G11:H11"/>
    <mergeCell ref="E2:F2"/>
    <mergeCell ref="G2:H2"/>
    <mergeCell ref="C3:D3"/>
    <mergeCell ref="E3:F3"/>
    <mergeCell ref="G3:H3"/>
    <mergeCell ref="A4:D4"/>
    <mergeCell ref="E4:F4"/>
    <mergeCell ref="G4:H4"/>
    <mergeCell ref="E5:H5"/>
    <mergeCell ref="E8:H8"/>
    <mergeCell ref="A10:D10"/>
    <mergeCell ref="E10:F10"/>
    <mergeCell ref="G10:H10"/>
  </mergeCells>
  <conditionalFormatting sqref="B35:D44">
    <cfRule type="cellIs" dxfId="2" priority="3" stopIfTrue="1" operator="equal">
      <formula>""</formula>
    </cfRule>
  </conditionalFormatting>
  <conditionalFormatting sqref="B44:D44">
    <cfRule type="cellIs" dxfId="1" priority="2" stopIfTrue="1" operator="equal">
      <formula>""</formula>
    </cfRule>
  </conditionalFormatting>
  <conditionalFormatting sqref="B35:D44">
    <cfRule type="cellIs" dxfId="0" priority="1" stopIfTrue="1" operator="equal">
      <formula>""</formula>
    </cfRule>
  </conditionalFormatting>
  <pageMargins left="0.25" right="0.25" top="0.25" bottom="0.25" header="0" footer="0"/>
  <pageSetup paperSize="9" scale="6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outlinePr applyStyles="1"/>
  </sheetPr>
  <dimension ref="A1:I51"/>
  <sheetViews>
    <sheetView workbookViewId="0">
      <selection activeCell="K35" sqref="K35"/>
    </sheetView>
  </sheetViews>
  <sheetFormatPr defaultRowHeight="20"/>
  <cols>
    <col min="1" max="1" width="7" style="30" customWidth="1"/>
    <col min="2" max="2" width="8.36328125" style="30" customWidth="1"/>
    <col min="3" max="4" width="8.6328125" style="30" customWidth="1"/>
    <col min="5" max="5" width="22.26953125" style="30" customWidth="1"/>
    <col min="6" max="6" width="26.6328125" style="30" customWidth="1"/>
    <col min="7" max="7" width="20" style="30" customWidth="1"/>
    <col min="8" max="8" width="23.90625" style="30" customWidth="1"/>
    <col min="9" max="9" width="21.36328125" style="30" customWidth="1"/>
    <col min="10" max="10" width="2.7265625" style="30" customWidth="1"/>
    <col min="11" max="256" width="9" style="30"/>
    <col min="257" max="257" width="5.6328125" style="30" customWidth="1"/>
    <col min="258" max="260" width="7.90625" style="30" customWidth="1"/>
    <col min="261" max="261" width="19.6328125" style="30" customWidth="1"/>
    <col min="262" max="262" width="20" style="30" customWidth="1"/>
    <col min="263" max="263" width="17" style="30" customWidth="1"/>
    <col min="264" max="264" width="17.08984375" style="30" customWidth="1"/>
    <col min="265" max="265" width="17.90625" style="30" customWidth="1"/>
    <col min="266" max="512" width="9" style="30"/>
    <col min="513" max="513" width="5.6328125" style="30" customWidth="1"/>
    <col min="514" max="516" width="7.90625" style="30" customWidth="1"/>
    <col min="517" max="517" width="19.6328125" style="30" customWidth="1"/>
    <col min="518" max="518" width="20" style="30" customWidth="1"/>
    <col min="519" max="519" width="17" style="30" customWidth="1"/>
    <col min="520" max="520" width="17.08984375" style="30" customWidth="1"/>
    <col min="521" max="521" width="17.90625" style="30" customWidth="1"/>
    <col min="522" max="768" width="9" style="30"/>
    <col min="769" max="769" width="5.6328125" style="30" customWidth="1"/>
    <col min="770" max="772" width="7.90625" style="30" customWidth="1"/>
    <col min="773" max="773" width="19.6328125" style="30" customWidth="1"/>
    <col min="774" max="774" width="20" style="30" customWidth="1"/>
    <col min="775" max="775" width="17" style="30" customWidth="1"/>
    <col min="776" max="776" width="17.08984375" style="30" customWidth="1"/>
    <col min="777" max="777" width="17.90625" style="30" customWidth="1"/>
    <col min="778" max="1024" width="9" style="30"/>
    <col min="1025" max="1025" width="5.6328125" style="30" customWidth="1"/>
    <col min="1026" max="1028" width="7.90625" style="30" customWidth="1"/>
    <col min="1029" max="1029" width="19.6328125" style="30" customWidth="1"/>
    <col min="1030" max="1030" width="20" style="30" customWidth="1"/>
    <col min="1031" max="1031" width="17" style="30" customWidth="1"/>
    <col min="1032" max="1032" width="17.08984375" style="30" customWidth="1"/>
    <col min="1033" max="1033" width="17.90625" style="30" customWidth="1"/>
    <col min="1034" max="1280" width="9" style="30"/>
    <col min="1281" max="1281" width="5.6328125" style="30" customWidth="1"/>
    <col min="1282" max="1284" width="7.90625" style="30" customWidth="1"/>
    <col min="1285" max="1285" width="19.6328125" style="30" customWidth="1"/>
    <col min="1286" max="1286" width="20" style="30" customWidth="1"/>
    <col min="1287" max="1287" width="17" style="30" customWidth="1"/>
    <col min="1288" max="1288" width="17.08984375" style="30" customWidth="1"/>
    <col min="1289" max="1289" width="17.90625" style="30" customWidth="1"/>
    <col min="1290" max="1536" width="9" style="30"/>
    <col min="1537" max="1537" width="5.6328125" style="30" customWidth="1"/>
    <col min="1538" max="1540" width="7.90625" style="30" customWidth="1"/>
    <col min="1541" max="1541" width="19.6328125" style="30" customWidth="1"/>
    <col min="1542" max="1542" width="20" style="30" customWidth="1"/>
    <col min="1543" max="1543" width="17" style="30" customWidth="1"/>
    <col min="1544" max="1544" width="17.08984375" style="30" customWidth="1"/>
    <col min="1545" max="1545" width="17.90625" style="30" customWidth="1"/>
    <col min="1546" max="1792" width="9" style="30"/>
    <col min="1793" max="1793" width="5.6328125" style="30" customWidth="1"/>
    <col min="1794" max="1796" width="7.90625" style="30" customWidth="1"/>
    <col min="1797" max="1797" width="19.6328125" style="30" customWidth="1"/>
    <col min="1798" max="1798" width="20" style="30" customWidth="1"/>
    <col min="1799" max="1799" width="17" style="30" customWidth="1"/>
    <col min="1800" max="1800" width="17.08984375" style="30" customWidth="1"/>
    <col min="1801" max="1801" width="17.90625" style="30" customWidth="1"/>
    <col min="1802" max="2048" width="9" style="30"/>
    <col min="2049" max="2049" width="5.6328125" style="30" customWidth="1"/>
    <col min="2050" max="2052" width="7.90625" style="30" customWidth="1"/>
    <col min="2053" max="2053" width="19.6328125" style="30" customWidth="1"/>
    <col min="2054" max="2054" width="20" style="30" customWidth="1"/>
    <col min="2055" max="2055" width="17" style="30" customWidth="1"/>
    <col min="2056" max="2056" width="17.08984375" style="30" customWidth="1"/>
    <col min="2057" max="2057" width="17.90625" style="30" customWidth="1"/>
    <col min="2058" max="2304" width="9" style="30"/>
    <col min="2305" max="2305" width="5.6328125" style="30" customWidth="1"/>
    <col min="2306" max="2308" width="7.90625" style="30" customWidth="1"/>
    <col min="2309" max="2309" width="19.6328125" style="30" customWidth="1"/>
    <col min="2310" max="2310" width="20" style="30" customWidth="1"/>
    <col min="2311" max="2311" width="17" style="30" customWidth="1"/>
    <col min="2312" max="2312" width="17.08984375" style="30" customWidth="1"/>
    <col min="2313" max="2313" width="17.90625" style="30" customWidth="1"/>
    <col min="2314" max="2560" width="9" style="30"/>
    <col min="2561" max="2561" width="5.6328125" style="30" customWidth="1"/>
    <col min="2562" max="2564" width="7.90625" style="30" customWidth="1"/>
    <col min="2565" max="2565" width="19.6328125" style="30" customWidth="1"/>
    <col min="2566" max="2566" width="20" style="30" customWidth="1"/>
    <col min="2567" max="2567" width="17" style="30" customWidth="1"/>
    <col min="2568" max="2568" width="17.08984375" style="30" customWidth="1"/>
    <col min="2569" max="2569" width="17.90625" style="30" customWidth="1"/>
    <col min="2570" max="2816" width="9" style="30"/>
    <col min="2817" max="2817" width="5.6328125" style="30" customWidth="1"/>
    <col min="2818" max="2820" width="7.90625" style="30" customWidth="1"/>
    <col min="2821" max="2821" width="19.6328125" style="30" customWidth="1"/>
    <col min="2822" max="2822" width="20" style="30" customWidth="1"/>
    <col min="2823" max="2823" width="17" style="30" customWidth="1"/>
    <col min="2824" max="2824" width="17.08984375" style="30" customWidth="1"/>
    <col min="2825" max="2825" width="17.90625" style="30" customWidth="1"/>
    <col min="2826" max="3072" width="9" style="30"/>
    <col min="3073" max="3073" width="5.6328125" style="30" customWidth="1"/>
    <col min="3074" max="3076" width="7.90625" style="30" customWidth="1"/>
    <col min="3077" max="3077" width="19.6328125" style="30" customWidth="1"/>
    <col min="3078" max="3078" width="20" style="30" customWidth="1"/>
    <col min="3079" max="3079" width="17" style="30" customWidth="1"/>
    <col min="3080" max="3080" width="17.08984375" style="30" customWidth="1"/>
    <col min="3081" max="3081" width="17.90625" style="30" customWidth="1"/>
    <col min="3082" max="3328" width="9" style="30"/>
    <col min="3329" max="3329" width="5.6328125" style="30" customWidth="1"/>
    <col min="3330" max="3332" width="7.90625" style="30" customWidth="1"/>
    <col min="3333" max="3333" width="19.6328125" style="30" customWidth="1"/>
    <col min="3334" max="3334" width="20" style="30" customWidth="1"/>
    <col min="3335" max="3335" width="17" style="30" customWidth="1"/>
    <col min="3336" max="3336" width="17.08984375" style="30" customWidth="1"/>
    <col min="3337" max="3337" width="17.90625" style="30" customWidth="1"/>
    <col min="3338" max="3584" width="9" style="30"/>
    <col min="3585" max="3585" width="5.6328125" style="30" customWidth="1"/>
    <col min="3586" max="3588" width="7.90625" style="30" customWidth="1"/>
    <col min="3589" max="3589" width="19.6328125" style="30" customWidth="1"/>
    <col min="3590" max="3590" width="20" style="30" customWidth="1"/>
    <col min="3591" max="3591" width="17" style="30" customWidth="1"/>
    <col min="3592" max="3592" width="17.08984375" style="30" customWidth="1"/>
    <col min="3593" max="3593" width="17.90625" style="30" customWidth="1"/>
    <col min="3594" max="3840" width="9" style="30"/>
    <col min="3841" max="3841" width="5.6328125" style="30" customWidth="1"/>
    <col min="3842" max="3844" width="7.90625" style="30" customWidth="1"/>
    <col min="3845" max="3845" width="19.6328125" style="30" customWidth="1"/>
    <col min="3846" max="3846" width="20" style="30" customWidth="1"/>
    <col min="3847" max="3847" width="17" style="30" customWidth="1"/>
    <col min="3848" max="3848" width="17.08984375" style="30" customWidth="1"/>
    <col min="3849" max="3849" width="17.90625" style="30" customWidth="1"/>
    <col min="3850" max="4096" width="9" style="30"/>
    <col min="4097" max="4097" width="5.6328125" style="30" customWidth="1"/>
    <col min="4098" max="4100" width="7.90625" style="30" customWidth="1"/>
    <col min="4101" max="4101" width="19.6328125" style="30" customWidth="1"/>
    <col min="4102" max="4102" width="20" style="30" customWidth="1"/>
    <col min="4103" max="4103" width="17" style="30" customWidth="1"/>
    <col min="4104" max="4104" width="17.08984375" style="30" customWidth="1"/>
    <col min="4105" max="4105" width="17.90625" style="30" customWidth="1"/>
    <col min="4106" max="4352" width="9" style="30"/>
    <col min="4353" max="4353" width="5.6328125" style="30" customWidth="1"/>
    <col min="4354" max="4356" width="7.90625" style="30" customWidth="1"/>
    <col min="4357" max="4357" width="19.6328125" style="30" customWidth="1"/>
    <col min="4358" max="4358" width="20" style="30" customWidth="1"/>
    <col min="4359" max="4359" width="17" style="30" customWidth="1"/>
    <col min="4360" max="4360" width="17.08984375" style="30" customWidth="1"/>
    <col min="4361" max="4361" width="17.90625" style="30" customWidth="1"/>
    <col min="4362" max="4608" width="9" style="30"/>
    <col min="4609" max="4609" width="5.6328125" style="30" customWidth="1"/>
    <col min="4610" max="4612" width="7.90625" style="30" customWidth="1"/>
    <col min="4613" max="4613" width="19.6328125" style="30" customWidth="1"/>
    <col min="4614" max="4614" width="20" style="30" customWidth="1"/>
    <col min="4615" max="4615" width="17" style="30" customWidth="1"/>
    <col min="4616" max="4616" width="17.08984375" style="30" customWidth="1"/>
    <col min="4617" max="4617" width="17.90625" style="30" customWidth="1"/>
    <col min="4618" max="4864" width="9" style="30"/>
    <col min="4865" max="4865" width="5.6328125" style="30" customWidth="1"/>
    <col min="4866" max="4868" width="7.90625" style="30" customWidth="1"/>
    <col min="4869" max="4869" width="19.6328125" style="30" customWidth="1"/>
    <col min="4870" max="4870" width="20" style="30" customWidth="1"/>
    <col min="4871" max="4871" width="17" style="30" customWidth="1"/>
    <col min="4872" max="4872" width="17.08984375" style="30" customWidth="1"/>
    <col min="4873" max="4873" width="17.90625" style="30" customWidth="1"/>
    <col min="4874" max="5120" width="9" style="30"/>
    <col min="5121" max="5121" width="5.6328125" style="30" customWidth="1"/>
    <col min="5122" max="5124" width="7.90625" style="30" customWidth="1"/>
    <col min="5125" max="5125" width="19.6328125" style="30" customWidth="1"/>
    <col min="5126" max="5126" width="20" style="30" customWidth="1"/>
    <col min="5127" max="5127" width="17" style="30" customWidth="1"/>
    <col min="5128" max="5128" width="17.08984375" style="30" customWidth="1"/>
    <col min="5129" max="5129" width="17.90625" style="30" customWidth="1"/>
    <col min="5130" max="5376" width="9" style="30"/>
    <col min="5377" max="5377" width="5.6328125" style="30" customWidth="1"/>
    <col min="5378" max="5380" width="7.90625" style="30" customWidth="1"/>
    <col min="5381" max="5381" width="19.6328125" style="30" customWidth="1"/>
    <col min="5382" max="5382" width="20" style="30" customWidth="1"/>
    <col min="5383" max="5383" width="17" style="30" customWidth="1"/>
    <col min="5384" max="5384" width="17.08984375" style="30" customWidth="1"/>
    <col min="5385" max="5385" width="17.90625" style="30" customWidth="1"/>
    <col min="5386" max="5632" width="9" style="30"/>
    <col min="5633" max="5633" width="5.6328125" style="30" customWidth="1"/>
    <col min="5634" max="5636" width="7.90625" style="30" customWidth="1"/>
    <col min="5637" max="5637" width="19.6328125" style="30" customWidth="1"/>
    <col min="5638" max="5638" width="20" style="30" customWidth="1"/>
    <col min="5639" max="5639" width="17" style="30" customWidth="1"/>
    <col min="5640" max="5640" width="17.08984375" style="30" customWidth="1"/>
    <col min="5641" max="5641" width="17.90625" style="30" customWidth="1"/>
    <col min="5642" max="5888" width="9" style="30"/>
    <col min="5889" max="5889" width="5.6328125" style="30" customWidth="1"/>
    <col min="5890" max="5892" width="7.90625" style="30" customWidth="1"/>
    <col min="5893" max="5893" width="19.6328125" style="30" customWidth="1"/>
    <col min="5894" max="5894" width="20" style="30" customWidth="1"/>
    <col min="5895" max="5895" width="17" style="30" customWidth="1"/>
    <col min="5896" max="5896" width="17.08984375" style="30" customWidth="1"/>
    <col min="5897" max="5897" width="17.90625" style="30" customWidth="1"/>
    <col min="5898" max="6144" width="9" style="30"/>
    <col min="6145" max="6145" width="5.6328125" style="30" customWidth="1"/>
    <col min="6146" max="6148" width="7.90625" style="30" customWidth="1"/>
    <col min="6149" max="6149" width="19.6328125" style="30" customWidth="1"/>
    <col min="6150" max="6150" width="20" style="30" customWidth="1"/>
    <col min="6151" max="6151" width="17" style="30" customWidth="1"/>
    <col min="6152" max="6152" width="17.08984375" style="30" customWidth="1"/>
    <col min="6153" max="6153" width="17.90625" style="30" customWidth="1"/>
    <col min="6154" max="6400" width="9" style="30"/>
    <col min="6401" max="6401" width="5.6328125" style="30" customWidth="1"/>
    <col min="6402" max="6404" width="7.90625" style="30" customWidth="1"/>
    <col min="6405" max="6405" width="19.6328125" style="30" customWidth="1"/>
    <col min="6406" max="6406" width="20" style="30" customWidth="1"/>
    <col min="6407" max="6407" width="17" style="30" customWidth="1"/>
    <col min="6408" max="6408" width="17.08984375" style="30" customWidth="1"/>
    <col min="6409" max="6409" width="17.90625" style="30" customWidth="1"/>
    <col min="6410" max="6656" width="9" style="30"/>
    <col min="6657" max="6657" width="5.6328125" style="30" customWidth="1"/>
    <col min="6658" max="6660" width="7.90625" style="30" customWidth="1"/>
    <col min="6661" max="6661" width="19.6328125" style="30" customWidth="1"/>
    <col min="6662" max="6662" width="20" style="30" customWidth="1"/>
    <col min="6663" max="6663" width="17" style="30" customWidth="1"/>
    <col min="6664" max="6664" width="17.08984375" style="30" customWidth="1"/>
    <col min="6665" max="6665" width="17.90625" style="30" customWidth="1"/>
    <col min="6666" max="6912" width="9" style="30"/>
    <col min="6913" max="6913" width="5.6328125" style="30" customWidth="1"/>
    <col min="6914" max="6916" width="7.90625" style="30" customWidth="1"/>
    <col min="6917" max="6917" width="19.6328125" style="30" customWidth="1"/>
    <col min="6918" max="6918" width="20" style="30" customWidth="1"/>
    <col min="6919" max="6919" width="17" style="30" customWidth="1"/>
    <col min="6920" max="6920" width="17.08984375" style="30" customWidth="1"/>
    <col min="6921" max="6921" width="17.90625" style="30" customWidth="1"/>
    <col min="6922" max="7168" width="9" style="30"/>
    <col min="7169" max="7169" width="5.6328125" style="30" customWidth="1"/>
    <col min="7170" max="7172" width="7.90625" style="30" customWidth="1"/>
    <col min="7173" max="7173" width="19.6328125" style="30" customWidth="1"/>
    <col min="7174" max="7174" width="20" style="30" customWidth="1"/>
    <col min="7175" max="7175" width="17" style="30" customWidth="1"/>
    <col min="7176" max="7176" width="17.08984375" style="30" customWidth="1"/>
    <col min="7177" max="7177" width="17.90625" style="30" customWidth="1"/>
    <col min="7178" max="7424" width="9" style="30"/>
    <col min="7425" max="7425" width="5.6328125" style="30" customWidth="1"/>
    <col min="7426" max="7428" width="7.90625" style="30" customWidth="1"/>
    <col min="7429" max="7429" width="19.6328125" style="30" customWidth="1"/>
    <col min="7430" max="7430" width="20" style="30" customWidth="1"/>
    <col min="7431" max="7431" width="17" style="30" customWidth="1"/>
    <col min="7432" max="7432" width="17.08984375" style="30" customWidth="1"/>
    <col min="7433" max="7433" width="17.90625" style="30" customWidth="1"/>
    <col min="7434" max="7680" width="9" style="30"/>
    <col min="7681" max="7681" width="5.6328125" style="30" customWidth="1"/>
    <col min="7682" max="7684" width="7.90625" style="30" customWidth="1"/>
    <col min="7685" max="7685" width="19.6328125" style="30" customWidth="1"/>
    <col min="7686" max="7686" width="20" style="30" customWidth="1"/>
    <col min="7687" max="7687" width="17" style="30" customWidth="1"/>
    <col min="7688" max="7688" width="17.08984375" style="30" customWidth="1"/>
    <col min="7689" max="7689" width="17.90625" style="30" customWidth="1"/>
    <col min="7690" max="7936" width="9" style="30"/>
    <col min="7937" max="7937" width="5.6328125" style="30" customWidth="1"/>
    <col min="7938" max="7940" width="7.90625" style="30" customWidth="1"/>
    <col min="7941" max="7941" width="19.6328125" style="30" customWidth="1"/>
    <col min="7942" max="7942" width="20" style="30" customWidth="1"/>
    <col min="7943" max="7943" width="17" style="30" customWidth="1"/>
    <col min="7944" max="7944" width="17.08984375" style="30" customWidth="1"/>
    <col min="7945" max="7945" width="17.90625" style="30" customWidth="1"/>
    <col min="7946" max="8192" width="9" style="30"/>
    <col min="8193" max="8193" width="5.6328125" style="30" customWidth="1"/>
    <col min="8194" max="8196" width="7.90625" style="30" customWidth="1"/>
    <col min="8197" max="8197" width="19.6328125" style="30" customWidth="1"/>
    <col min="8198" max="8198" width="20" style="30" customWidth="1"/>
    <col min="8199" max="8199" width="17" style="30" customWidth="1"/>
    <col min="8200" max="8200" width="17.08984375" style="30" customWidth="1"/>
    <col min="8201" max="8201" width="17.90625" style="30" customWidth="1"/>
    <col min="8202" max="8448" width="9" style="30"/>
    <col min="8449" max="8449" width="5.6328125" style="30" customWidth="1"/>
    <col min="8450" max="8452" width="7.90625" style="30" customWidth="1"/>
    <col min="8453" max="8453" width="19.6328125" style="30" customWidth="1"/>
    <col min="8454" max="8454" width="20" style="30" customWidth="1"/>
    <col min="8455" max="8455" width="17" style="30" customWidth="1"/>
    <col min="8456" max="8456" width="17.08984375" style="30" customWidth="1"/>
    <col min="8457" max="8457" width="17.90625" style="30" customWidth="1"/>
    <col min="8458" max="8704" width="9" style="30"/>
    <col min="8705" max="8705" width="5.6328125" style="30" customWidth="1"/>
    <col min="8706" max="8708" width="7.90625" style="30" customWidth="1"/>
    <col min="8709" max="8709" width="19.6328125" style="30" customWidth="1"/>
    <col min="8710" max="8710" width="20" style="30" customWidth="1"/>
    <col min="8711" max="8711" width="17" style="30" customWidth="1"/>
    <col min="8712" max="8712" width="17.08984375" style="30" customWidth="1"/>
    <col min="8713" max="8713" width="17.90625" style="30" customWidth="1"/>
    <col min="8714" max="8960" width="9" style="30"/>
    <col min="8961" max="8961" width="5.6328125" style="30" customWidth="1"/>
    <col min="8962" max="8964" width="7.90625" style="30" customWidth="1"/>
    <col min="8965" max="8965" width="19.6328125" style="30" customWidth="1"/>
    <col min="8966" max="8966" width="20" style="30" customWidth="1"/>
    <col min="8967" max="8967" width="17" style="30" customWidth="1"/>
    <col min="8968" max="8968" width="17.08984375" style="30" customWidth="1"/>
    <col min="8969" max="8969" width="17.90625" style="30" customWidth="1"/>
    <col min="8970" max="9216" width="9" style="30"/>
    <col min="9217" max="9217" width="5.6328125" style="30" customWidth="1"/>
    <col min="9218" max="9220" width="7.90625" style="30" customWidth="1"/>
    <col min="9221" max="9221" width="19.6328125" style="30" customWidth="1"/>
    <col min="9222" max="9222" width="20" style="30" customWidth="1"/>
    <col min="9223" max="9223" width="17" style="30" customWidth="1"/>
    <col min="9224" max="9224" width="17.08984375" style="30" customWidth="1"/>
    <col min="9225" max="9225" width="17.90625" style="30" customWidth="1"/>
    <col min="9226" max="9472" width="9" style="30"/>
    <col min="9473" max="9473" width="5.6328125" style="30" customWidth="1"/>
    <col min="9474" max="9476" width="7.90625" style="30" customWidth="1"/>
    <col min="9477" max="9477" width="19.6328125" style="30" customWidth="1"/>
    <col min="9478" max="9478" width="20" style="30" customWidth="1"/>
    <col min="9479" max="9479" width="17" style="30" customWidth="1"/>
    <col min="9480" max="9480" width="17.08984375" style="30" customWidth="1"/>
    <col min="9481" max="9481" width="17.90625" style="30" customWidth="1"/>
    <col min="9482" max="9728" width="9" style="30"/>
    <col min="9729" max="9729" width="5.6328125" style="30" customWidth="1"/>
    <col min="9730" max="9732" width="7.90625" style="30" customWidth="1"/>
    <col min="9733" max="9733" width="19.6328125" style="30" customWidth="1"/>
    <col min="9734" max="9734" width="20" style="30" customWidth="1"/>
    <col min="9735" max="9735" width="17" style="30" customWidth="1"/>
    <col min="9736" max="9736" width="17.08984375" style="30" customWidth="1"/>
    <col min="9737" max="9737" width="17.90625" style="30" customWidth="1"/>
    <col min="9738" max="9984" width="9" style="30"/>
    <col min="9985" max="9985" width="5.6328125" style="30" customWidth="1"/>
    <col min="9986" max="9988" width="7.90625" style="30" customWidth="1"/>
    <col min="9989" max="9989" width="19.6328125" style="30" customWidth="1"/>
    <col min="9990" max="9990" width="20" style="30" customWidth="1"/>
    <col min="9991" max="9991" width="17" style="30" customWidth="1"/>
    <col min="9992" max="9992" width="17.08984375" style="30" customWidth="1"/>
    <col min="9993" max="9993" width="17.90625" style="30" customWidth="1"/>
    <col min="9994" max="10240" width="9" style="30"/>
    <col min="10241" max="10241" width="5.6328125" style="30" customWidth="1"/>
    <col min="10242" max="10244" width="7.90625" style="30" customWidth="1"/>
    <col min="10245" max="10245" width="19.6328125" style="30" customWidth="1"/>
    <col min="10246" max="10246" width="20" style="30" customWidth="1"/>
    <col min="10247" max="10247" width="17" style="30" customWidth="1"/>
    <col min="10248" max="10248" width="17.08984375" style="30" customWidth="1"/>
    <col min="10249" max="10249" width="17.90625" style="30" customWidth="1"/>
    <col min="10250" max="10496" width="9" style="30"/>
    <col min="10497" max="10497" width="5.6328125" style="30" customWidth="1"/>
    <col min="10498" max="10500" width="7.90625" style="30" customWidth="1"/>
    <col min="10501" max="10501" width="19.6328125" style="30" customWidth="1"/>
    <col min="10502" max="10502" width="20" style="30" customWidth="1"/>
    <col min="10503" max="10503" width="17" style="30" customWidth="1"/>
    <col min="10504" max="10504" width="17.08984375" style="30" customWidth="1"/>
    <col min="10505" max="10505" width="17.90625" style="30" customWidth="1"/>
    <col min="10506" max="10752" width="9" style="30"/>
    <col min="10753" max="10753" width="5.6328125" style="30" customWidth="1"/>
    <col min="10754" max="10756" width="7.90625" style="30" customWidth="1"/>
    <col min="10757" max="10757" width="19.6328125" style="30" customWidth="1"/>
    <col min="10758" max="10758" width="20" style="30" customWidth="1"/>
    <col min="10759" max="10759" width="17" style="30" customWidth="1"/>
    <col min="10760" max="10760" width="17.08984375" style="30" customWidth="1"/>
    <col min="10761" max="10761" width="17.90625" style="30" customWidth="1"/>
    <col min="10762" max="11008" width="9" style="30"/>
    <col min="11009" max="11009" width="5.6328125" style="30" customWidth="1"/>
    <col min="11010" max="11012" width="7.90625" style="30" customWidth="1"/>
    <col min="11013" max="11013" width="19.6328125" style="30" customWidth="1"/>
    <col min="11014" max="11014" width="20" style="30" customWidth="1"/>
    <col min="11015" max="11015" width="17" style="30" customWidth="1"/>
    <col min="11016" max="11016" width="17.08984375" style="30" customWidth="1"/>
    <col min="11017" max="11017" width="17.90625" style="30" customWidth="1"/>
    <col min="11018" max="11264" width="9" style="30"/>
    <col min="11265" max="11265" width="5.6328125" style="30" customWidth="1"/>
    <col min="11266" max="11268" width="7.90625" style="30" customWidth="1"/>
    <col min="11269" max="11269" width="19.6328125" style="30" customWidth="1"/>
    <col min="11270" max="11270" width="20" style="30" customWidth="1"/>
    <col min="11271" max="11271" width="17" style="30" customWidth="1"/>
    <col min="11272" max="11272" width="17.08984375" style="30" customWidth="1"/>
    <col min="11273" max="11273" width="17.90625" style="30" customWidth="1"/>
    <col min="11274" max="11520" width="9" style="30"/>
    <col min="11521" max="11521" width="5.6328125" style="30" customWidth="1"/>
    <col min="11522" max="11524" width="7.90625" style="30" customWidth="1"/>
    <col min="11525" max="11525" width="19.6328125" style="30" customWidth="1"/>
    <col min="11526" max="11526" width="20" style="30" customWidth="1"/>
    <col min="11527" max="11527" width="17" style="30" customWidth="1"/>
    <col min="11528" max="11528" width="17.08984375" style="30" customWidth="1"/>
    <col min="11529" max="11529" width="17.90625" style="30" customWidth="1"/>
    <col min="11530" max="11776" width="9" style="30"/>
    <col min="11777" max="11777" width="5.6328125" style="30" customWidth="1"/>
    <col min="11778" max="11780" width="7.90625" style="30" customWidth="1"/>
    <col min="11781" max="11781" width="19.6328125" style="30" customWidth="1"/>
    <col min="11782" max="11782" width="20" style="30" customWidth="1"/>
    <col min="11783" max="11783" width="17" style="30" customWidth="1"/>
    <col min="11784" max="11784" width="17.08984375" style="30" customWidth="1"/>
    <col min="11785" max="11785" width="17.90625" style="30" customWidth="1"/>
    <col min="11786" max="12032" width="9" style="30"/>
    <col min="12033" max="12033" width="5.6328125" style="30" customWidth="1"/>
    <col min="12034" max="12036" width="7.90625" style="30" customWidth="1"/>
    <col min="12037" max="12037" width="19.6328125" style="30" customWidth="1"/>
    <col min="12038" max="12038" width="20" style="30" customWidth="1"/>
    <col min="12039" max="12039" width="17" style="30" customWidth="1"/>
    <col min="12040" max="12040" width="17.08984375" style="30" customWidth="1"/>
    <col min="12041" max="12041" width="17.90625" style="30" customWidth="1"/>
    <col min="12042" max="12288" width="9" style="30"/>
    <col min="12289" max="12289" width="5.6328125" style="30" customWidth="1"/>
    <col min="12290" max="12292" width="7.90625" style="30" customWidth="1"/>
    <col min="12293" max="12293" width="19.6328125" style="30" customWidth="1"/>
    <col min="12294" max="12294" width="20" style="30" customWidth="1"/>
    <col min="12295" max="12295" width="17" style="30" customWidth="1"/>
    <col min="12296" max="12296" width="17.08984375" style="30" customWidth="1"/>
    <col min="12297" max="12297" width="17.90625" style="30" customWidth="1"/>
    <col min="12298" max="12544" width="9" style="30"/>
    <col min="12545" max="12545" width="5.6328125" style="30" customWidth="1"/>
    <col min="12546" max="12548" width="7.90625" style="30" customWidth="1"/>
    <col min="12549" max="12549" width="19.6328125" style="30" customWidth="1"/>
    <col min="12550" max="12550" width="20" style="30" customWidth="1"/>
    <col min="12551" max="12551" width="17" style="30" customWidth="1"/>
    <col min="12552" max="12552" width="17.08984375" style="30" customWidth="1"/>
    <col min="12553" max="12553" width="17.90625" style="30" customWidth="1"/>
    <col min="12554" max="12800" width="9" style="30"/>
    <col min="12801" max="12801" width="5.6328125" style="30" customWidth="1"/>
    <col min="12802" max="12804" width="7.90625" style="30" customWidth="1"/>
    <col min="12805" max="12805" width="19.6328125" style="30" customWidth="1"/>
    <col min="12806" max="12806" width="20" style="30" customWidth="1"/>
    <col min="12807" max="12807" width="17" style="30" customWidth="1"/>
    <col min="12808" max="12808" width="17.08984375" style="30" customWidth="1"/>
    <col min="12809" max="12809" width="17.90625" style="30" customWidth="1"/>
    <col min="12810" max="13056" width="9" style="30"/>
    <col min="13057" max="13057" width="5.6328125" style="30" customWidth="1"/>
    <col min="13058" max="13060" width="7.90625" style="30" customWidth="1"/>
    <col min="13061" max="13061" width="19.6328125" style="30" customWidth="1"/>
    <col min="13062" max="13062" width="20" style="30" customWidth="1"/>
    <col min="13063" max="13063" width="17" style="30" customWidth="1"/>
    <col min="13064" max="13064" width="17.08984375" style="30" customWidth="1"/>
    <col min="13065" max="13065" width="17.90625" style="30" customWidth="1"/>
    <col min="13066" max="13312" width="9" style="30"/>
    <col min="13313" max="13313" width="5.6328125" style="30" customWidth="1"/>
    <col min="13314" max="13316" width="7.90625" style="30" customWidth="1"/>
    <col min="13317" max="13317" width="19.6328125" style="30" customWidth="1"/>
    <col min="13318" max="13318" width="20" style="30" customWidth="1"/>
    <col min="13319" max="13319" width="17" style="30" customWidth="1"/>
    <col min="13320" max="13320" width="17.08984375" style="30" customWidth="1"/>
    <col min="13321" max="13321" width="17.90625" style="30" customWidth="1"/>
    <col min="13322" max="13568" width="9" style="30"/>
    <col min="13569" max="13569" width="5.6328125" style="30" customWidth="1"/>
    <col min="13570" max="13572" width="7.90625" style="30" customWidth="1"/>
    <col min="13573" max="13573" width="19.6328125" style="30" customWidth="1"/>
    <col min="13574" max="13574" width="20" style="30" customWidth="1"/>
    <col min="13575" max="13575" width="17" style="30" customWidth="1"/>
    <col min="13576" max="13576" width="17.08984375" style="30" customWidth="1"/>
    <col min="13577" max="13577" width="17.90625" style="30" customWidth="1"/>
    <col min="13578" max="13824" width="9" style="30"/>
    <col min="13825" max="13825" width="5.6328125" style="30" customWidth="1"/>
    <col min="13826" max="13828" width="7.90625" style="30" customWidth="1"/>
    <col min="13829" max="13829" width="19.6328125" style="30" customWidth="1"/>
    <col min="13830" max="13830" width="20" style="30" customWidth="1"/>
    <col min="13831" max="13831" width="17" style="30" customWidth="1"/>
    <col min="13832" max="13832" width="17.08984375" style="30" customWidth="1"/>
    <col min="13833" max="13833" width="17.90625" style="30" customWidth="1"/>
    <col min="13834" max="14080" width="9" style="30"/>
    <col min="14081" max="14081" width="5.6328125" style="30" customWidth="1"/>
    <col min="14082" max="14084" width="7.90625" style="30" customWidth="1"/>
    <col min="14085" max="14085" width="19.6328125" style="30" customWidth="1"/>
    <col min="14086" max="14086" width="20" style="30" customWidth="1"/>
    <col min="14087" max="14087" width="17" style="30" customWidth="1"/>
    <col min="14088" max="14088" width="17.08984375" style="30" customWidth="1"/>
    <col min="14089" max="14089" width="17.90625" style="30" customWidth="1"/>
    <col min="14090" max="14336" width="9" style="30"/>
    <col min="14337" max="14337" width="5.6328125" style="30" customWidth="1"/>
    <col min="14338" max="14340" width="7.90625" style="30" customWidth="1"/>
    <col min="14341" max="14341" width="19.6328125" style="30" customWidth="1"/>
    <col min="14342" max="14342" width="20" style="30" customWidth="1"/>
    <col min="14343" max="14343" width="17" style="30" customWidth="1"/>
    <col min="14344" max="14344" width="17.08984375" style="30" customWidth="1"/>
    <col min="14345" max="14345" width="17.90625" style="30" customWidth="1"/>
    <col min="14346" max="14592" width="9" style="30"/>
    <col min="14593" max="14593" width="5.6328125" style="30" customWidth="1"/>
    <col min="14594" max="14596" width="7.90625" style="30" customWidth="1"/>
    <col min="14597" max="14597" width="19.6328125" style="30" customWidth="1"/>
    <col min="14598" max="14598" width="20" style="30" customWidth="1"/>
    <col min="14599" max="14599" width="17" style="30" customWidth="1"/>
    <col min="14600" max="14600" width="17.08984375" style="30" customWidth="1"/>
    <col min="14601" max="14601" width="17.90625" style="30" customWidth="1"/>
    <col min="14602" max="14848" width="9" style="30"/>
    <col min="14849" max="14849" width="5.6328125" style="30" customWidth="1"/>
    <col min="14850" max="14852" width="7.90625" style="30" customWidth="1"/>
    <col min="14853" max="14853" width="19.6328125" style="30" customWidth="1"/>
    <col min="14854" max="14854" width="20" style="30" customWidth="1"/>
    <col min="14855" max="14855" width="17" style="30" customWidth="1"/>
    <col min="14856" max="14856" width="17.08984375" style="30" customWidth="1"/>
    <col min="14857" max="14857" width="17.90625" style="30" customWidth="1"/>
    <col min="14858" max="15104" width="9" style="30"/>
    <col min="15105" max="15105" width="5.6328125" style="30" customWidth="1"/>
    <col min="15106" max="15108" width="7.90625" style="30" customWidth="1"/>
    <col min="15109" max="15109" width="19.6328125" style="30" customWidth="1"/>
    <col min="15110" max="15110" width="20" style="30" customWidth="1"/>
    <col min="15111" max="15111" width="17" style="30" customWidth="1"/>
    <col min="15112" max="15112" width="17.08984375" style="30" customWidth="1"/>
    <col min="15113" max="15113" width="17.90625" style="30" customWidth="1"/>
    <col min="15114" max="15360" width="9" style="30"/>
    <col min="15361" max="15361" width="5.6328125" style="30" customWidth="1"/>
    <col min="15362" max="15364" width="7.90625" style="30" customWidth="1"/>
    <col min="15365" max="15365" width="19.6328125" style="30" customWidth="1"/>
    <col min="15366" max="15366" width="20" style="30" customWidth="1"/>
    <col min="15367" max="15367" width="17" style="30" customWidth="1"/>
    <col min="15368" max="15368" width="17.08984375" style="30" customWidth="1"/>
    <col min="15369" max="15369" width="17.90625" style="30" customWidth="1"/>
    <col min="15370" max="15616" width="9" style="30"/>
    <col min="15617" max="15617" width="5.6328125" style="30" customWidth="1"/>
    <col min="15618" max="15620" width="7.90625" style="30" customWidth="1"/>
    <col min="15621" max="15621" width="19.6328125" style="30" customWidth="1"/>
    <col min="15622" max="15622" width="20" style="30" customWidth="1"/>
    <col min="15623" max="15623" width="17" style="30" customWidth="1"/>
    <col min="15624" max="15624" width="17.08984375" style="30" customWidth="1"/>
    <col min="15625" max="15625" width="17.90625" style="30" customWidth="1"/>
    <col min="15626" max="15872" width="9" style="30"/>
    <col min="15873" max="15873" width="5.6328125" style="30" customWidth="1"/>
    <col min="15874" max="15876" width="7.90625" style="30" customWidth="1"/>
    <col min="15877" max="15877" width="19.6328125" style="30" customWidth="1"/>
    <col min="15878" max="15878" width="20" style="30" customWidth="1"/>
    <col min="15879" max="15879" width="17" style="30" customWidth="1"/>
    <col min="15880" max="15880" width="17.08984375" style="30" customWidth="1"/>
    <col min="15881" max="15881" width="17.90625" style="30" customWidth="1"/>
    <col min="15882" max="16128" width="9" style="30"/>
    <col min="16129" max="16129" width="5.6328125" style="30" customWidth="1"/>
    <col min="16130" max="16132" width="7.90625" style="30" customWidth="1"/>
    <col min="16133" max="16133" width="19.6328125" style="30" customWidth="1"/>
    <col min="16134" max="16134" width="20" style="30" customWidth="1"/>
    <col min="16135" max="16135" width="17" style="30" customWidth="1"/>
    <col min="16136" max="16136" width="17.08984375" style="30" customWidth="1"/>
    <col min="16137" max="16137" width="17.90625" style="30" customWidth="1"/>
    <col min="16138" max="16384" width="9" style="30"/>
  </cols>
  <sheetData>
    <row r="1" spans="1:9" ht="12.75" customHeight="1">
      <c r="I1" s="31"/>
    </row>
    <row r="2" spans="1:9" ht="17.25" customHeight="1">
      <c r="H2" s="32" t="s">
        <v>0</v>
      </c>
      <c r="I2" s="32" t="s">
        <v>1</v>
      </c>
    </row>
    <row r="3" spans="1:9" ht="23.25" customHeight="1">
      <c r="E3" s="218" t="s">
        <v>2</v>
      </c>
      <c r="F3" s="218"/>
      <c r="G3" s="219"/>
      <c r="H3" s="86"/>
      <c r="I3" s="77"/>
    </row>
    <row r="4" spans="1:9" ht="23">
      <c r="A4" s="220" t="s">
        <v>3</v>
      </c>
      <c r="B4" s="220"/>
      <c r="C4" s="220"/>
      <c r="D4" s="220"/>
      <c r="E4" s="220"/>
      <c r="F4" s="220"/>
      <c r="G4" s="221"/>
      <c r="H4" s="87"/>
      <c r="I4" s="88"/>
    </row>
    <row r="5" spans="1:9">
      <c r="A5" s="33" t="s">
        <v>4</v>
      </c>
      <c r="B5" s="34"/>
      <c r="C5" s="34"/>
      <c r="D5" s="216"/>
      <c r="E5" s="217"/>
      <c r="F5" s="75" t="s">
        <v>5</v>
      </c>
      <c r="G5" s="222"/>
      <c r="H5" s="223"/>
      <c r="I5" s="224"/>
    </row>
    <row r="6" spans="1:9">
      <c r="A6" s="33" t="s">
        <v>6</v>
      </c>
      <c r="B6" s="34"/>
      <c r="C6" s="34"/>
      <c r="D6" s="216"/>
      <c r="E6" s="217"/>
      <c r="F6" s="75" t="s">
        <v>7</v>
      </c>
      <c r="G6" s="76"/>
      <c r="H6" s="78" t="s">
        <v>236</v>
      </c>
      <c r="I6" s="79"/>
    </row>
    <row r="7" spans="1:9">
      <c r="A7" s="33" t="s">
        <v>8</v>
      </c>
      <c r="B7" s="34"/>
      <c r="C7" s="34"/>
      <c r="D7" s="216"/>
      <c r="E7" s="217"/>
      <c r="F7" s="75" t="s">
        <v>9</v>
      </c>
      <c r="G7" s="76"/>
      <c r="H7" s="78" t="s">
        <v>237</v>
      </c>
      <c r="I7" s="79"/>
    </row>
    <row r="8" spans="1:9">
      <c r="A8" s="33" t="s">
        <v>188</v>
      </c>
      <c r="B8" s="34"/>
      <c r="C8" s="34"/>
      <c r="D8" s="216"/>
      <c r="E8" s="217"/>
      <c r="F8" s="76" t="s">
        <v>187</v>
      </c>
      <c r="G8" s="228"/>
      <c r="H8" s="229"/>
      <c r="I8" s="230"/>
    </row>
    <row r="9" spans="1:9" ht="14.25" customHeight="1">
      <c r="A9" s="30" t="s">
        <v>10</v>
      </c>
      <c r="E9" s="36"/>
      <c r="F9" s="36"/>
      <c r="G9" s="36"/>
      <c r="H9" s="93"/>
      <c r="I9" s="37"/>
    </row>
    <row r="10" spans="1:9" ht="15.75" customHeight="1">
      <c r="A10" s="231" t="s">
        <v>11</v>
      </c>
      <c r="B10" s="232"/>
      <c r="C10" s="232"/>
      <c r="D10" s="232"/>
      <c r="E10" s="232"/>
      <c r="F10" s="232"/>
      <c r="G10" s="233" t="s">
        <v>12</v>
      </c>
      <c r="H10" s="234"/>
      <c r="I10" s="38" t="s">
        <v>13</v>
      </c>
    </row>
    <row r="11" spans="1:9" ht="25.5" customHeight="1">
      <c r="A11" s="39"/>
      <c r="B11" s="40"/>
      <c r="C11" s="40"/>
      <c r="D11" s="40"/>
      <c r="E11" s="36"/>
      <c r="F11" s="36"/>
      <c r="G11" s="235"/>
      <c r="H11" s="236"/>
      <c r="I11" s="41" t="str">
        <f>IF(AND(A49=""),"",IF(AND(A49="PASS"),"Good","NG"))</f>
        <v/>
      </c>
    </row>
    <row r="12" spans="1:9">
      <c r="A12" s="42"/>
      <c r="B12" s="36"/>
      <c r="C12" s="36"/>
      <c r="D12" s="36"/>
      <c r="E12" s="36"/>
      <c r="F12" s="36"/>
      <c r="G12" s="237"/>
      <c r="H12" s="238"/>
      <c r="I12" s="43" t="s">
        <v>14</v>
      </c>
    </row>
    <row r="13" spans="1:9">
      <c r="A13" s="42"/>
      <c r="B13" s="36"/>
      <c r="C13" s="36"/>
      <c r="D13" s="36"/>
      <c r="E13" s="36"/>
      <c r="F13" s="36"/>
      <c r="G13" s="237"/>
      <c r="H13" s="238"/>
      <c r="I13" s="43" t="s">
        <v>15</v>
      </c>
    </row>
    <row r="14" spans="1:9">
      <c r="A14" s="42"/>
      <c r="B14" s="36"/>
      <c r="C14" s="36"/>
      <c r="D14" s="36"/>
      <c r="E14" s="36"/>
      <c r="F14" s="36"/>
      <c r="G14" s="237"/>
      <c r="H14" s="238"/>
      <c r="I14" s="43" t="s">
        <v>16</v>
      </c>
    </row>
    <row r="15" spans="1:9">
      <c r="A15" s="42"/>
      <c r="B15" s="36"/>
      <c r="C15" s="36"/>
      <c r="D15" s="36"/>
      <c r="E15" s="36"/>
      <c r="F15" s="36"/>
      <c r="G15" s="237"/>
      <c r="H15" s="238"/>
      <c r="I15" s="43" t="s">
        <v>17</v>
      </c>
    </row>
    <row r="16" spans="1:9">
      <c r="A16" s="44"/>
      <c r="B16" s="45"/>
      <c r="C16" s="45"/>
      <c r="D16" s="45"/>
      <c r="E16" s="45"/>
      <c r="F16" s="45"/>
      <c r="G16" s="239"/>
      <c r="H16" s="240"/>
      <c r="I16" s="46" t="s">
        <v>18</v>
      </c>
    </row>
    <row r="17" spans="1:9">
      <c r="A17" s="241" t="s">
        <v>19</v>
      </c>
      <c r="B17" s="241"/>
      <c r="C17" s="241"/>
      <c r="D17" s="241"/>
      <c r="E17" s="241"/>
      <c r="F17" s="241"/>
      <c r="G17" s="80"/>
      <c r="H17" s="47"/>
      <c r="I17" s="36"/>
    </row>
    <row r="18" spans="1:9" ht="21.75" customHeight="1">
      <c r="A18" s="225" t="s">
        <v>184</v>
      </c>
      <c r="B18" s="225"/>
      <c r="C18" s="225"/>
      <c r="D18" s="226"/>
      <c r="E18" s="94" t="s">
        <v>55</v>
      </c>
      <c r="F18" s="51" t="s">
        <v>184</v>
      </c>
      <c r="G18" s="92" t="s">
        <v>55</v>
      </c>
      <c r="H18" s="227" t="s">
        <v>227</v>
      </c>
      <c r="I18" s="227"/>
    </row>
    <row r="19" spans="1:9">
      <c r="A19" s="245" t="s">
        <v>238</v>
      </c>
      <c r="B19" s="246"/>
      <c r="C19" s="246"/>
      <c r="D19" s="247"/>
      <c r="E19" s="81"/>
      <c r="F19" s="81" t="s">
        <v>65</v>
      </c>
      <c r="G19" s="81"/>
      <c r="H19" s="93"/>
      <c r="I19" s="48"/>
    </row>
    <row r="20" spans="1:9">
      <c r="A20" s="248" t="s">
        <v>49</v>
      </c>
      <c r="B20" s="249"/>
      <c r="C20" s="249"/>
      <c r="D20" s="250"/>
      <c r="E20" s="82"/>
      <c r="F20" s="82" t="s">
        <v>66</v>
      </c>
      <c r="G20" s="82"/>
      <c r="H20" s="93"/>
      <c r="I20" s="48"/>
    </row>
    <row r="21" spans="1:9">
      <c r="A21" s="251" t="s">
        <v>50</v>
      </c>
      <c r="B21" s="249"/>
      <c r="C21" s="249"/>
      <c r="D21" s="250"/>
      <c r="E21" s="82"/>
      <c r="F21" s="82" t="s">
        <v>240</v>
      </c>
      <c r="G21" s="82"/>
      <c r="H21" s="93"/>
      <c r="I21" s="48"/>
    </row>
    <row r="22" spans="1:9">
      <c r="A22" s="251" t="s">
        <v>51</v>
      </c>
      <c r="B22" s="249"/>
      <c r="C22" s="249"/>
      <c r="D22" s="250"/>
      <c r="E22" s="82"/>
      <c r="F22" s="82" t="s">
        <v>67</v>
      </c>
      <c r="G22" s="82"/>
      <c r="H22" s="93"/>
      <c r="I22" s="48"/>
    </row>
    <row r="23" spans="1:9">
      <c r="A23" s="251" t="s">
        <v>52</v>
      </c>
      <c r="B23" s="249"/>
      <c r="C23" s="249"/>
      <c r="D23" s="250"/>
      <c r="E23" s="82"/>
      <c r="F23" s="82" t="s">
        <v>241</v>
      </c>
      <c r="G23" s="82"/>
      <c r="H23" s="93"/>
      <c r="I23" s="48"/>
    </row>
    <row r="24" spans="1:9">
      <c r="A24" s="251" t="s">
        <v>53</v>
      </c>
      <c r="B24" s="249"/>
      <c r="C24" s="249"/>
      <c r="D24" s="250"/>
      <c r="E24" s="82"/>
      <c r="F24" s="82" t="s">
        <v>68</v>
      </c>
      <c r="G24" s="82"/>
      <c r="H24" s="93"/>
      <c r="I24" s="48"/>
    </row>
    <row r="25" spans="1:9">
      <c r="A25" s="248" t="s">
        <v>54</v>
      </c>
      <c r="B25" s="249"/>
      <c r="C25" s="249"/>
      <c r="D25" s="250"/>
      <c r="E25" s="82"/>
      <c r="F25" s="82" t="s">
        <v>242</v>
      </c>
      <c r="G25" s="82"/>
      <c r="H25" s="36"/>
      <c r="I25" s="48"/>
    </row>
    <row r="26" spans="1:9" ht="21" customHeight="1">
      <c r="A26" s="252" t="s">
        <v>239</v>
      </c>
      <c r="B26" s="253"/>
      <c r="C26" s="253"/>
      <c r="D26" s="254"/>
      <c r="E26" s="83"/>
      <c r="F26" s="83" t="s">
        <v>243</v>
      </c>
      <c r="G26" s="83"/>
      <c r="H26" s="45"/>
      <c r="I26" s="49"/>
    </row>
    <row r="27" spans="1:9" ht="22.5" customHeight="1">
      <c r="A27" s="255" t="s">
        <v>20</v>
      </c>
      <c r="B27" s="255"/>
      <c r="C27" s="255"/>
      <c r="D27" s="255"/>
      <c r="E27" s="255"/>
      <c r="F27" s="94" t="str">
        <f>IF(AND(A49=""),"",IF(AND(A49="PASS"),"Good","NG"))</f>
        <v/>
      </c>
      <c r="G27" s="50" t="s">
        <v>21</v>
      </c>
      <c r="H27" s="85"/>
      <c r="I27" s="51" t="s">
        <v>22</v>
      </c>
    </row>
    <row r="28" spans="1:9" ht="21.75" customHeight="1">
      <c r="A28" s="256" t="s">
        <v>23</v>
      </c>
      <c r="B28" s="257"/>
      <c r="C28" s="257"/>
      <c r="D28" s="257"/>
      <c r="E28" s="257"/>
      <c r="F28" s="257"/>
      <c r="G28" s="257"/>
      <c r="H28" s="257"/>
      <c r="I28" s="258"/>
    </row>
    <row r="29" spans="1:9" s="54" customFormat="1" ht="21.75" customHeight="1">
      <c r="A29" s="52" t="s">
        <v>24</v>
      </c>
      <c r="B29" s="53"/>
      <c r="C29" s="53"/>
      <c r="D29" s="53"/>
      <c r="E29" s="95" t="s">
        <v>25</v>
      </c>
      <c r="F29" s="95" t="s">
        <v>56</v>
      </c>
      <c r="G29" s="95" t="s">
        <v>26</v>
      </c>
      <c r="H29" s="259" t="s">
        <v>27</v>
      </c>
      <c r="I29" s="260"/>
    </row>
    <row r="30" spans="1:9" s="54" customFormat="1">
      <c r="A30" s="30" t="s">
        <v>28</v>
      </c>
      <c r="B30" s="30"/>
      <c r="C30" s="30"/>
      <c r="D30" s="30"/>
      <c r="E30" s="37"/>
      <c r="F30" s="55"/>
      <c r="G30" s="55"/>
      <c r="H30" s="56"/>
      <c r="I30" s="57"/>
    </row>
    <row r="31" spans="1:9" s="54" customFormat="1" ht="21.75" customHeight="1">
      <c r="A31" s="94" t="s">
        <v>29</v>
      </c>
      <c r="B31" s="242" t="s">
        <v>30</v>
      </c>
      <c r="C31" s="233"/>
      <c r="D31" s="233"/>
      <c r="E31" s="233"/>
      <c r="F31" s="38" t="s">
        <v>31</v>
      </c>
      <c r="G31" s="243" t="s">
        <v>177</v>
      </c>
      <c r="H31" s="244"/>
      <c r="I31" s="84"/>
    </row>
    <row r="32" spans="1:9" s="54" customFormat="1">
      <c r="A32" s="38" t="s">
        <v>32</v>
      </c>
      <c r="B32" s="228" t="s">
        <v>228</v>
      </c>
      <c r="C32" s="229"/>
      <c r="D32" s="230"/>
      <c r="E32" s="38" t="s">
        <v>33</v>
      </c>
      <c r="F32" s="38" t="s">
        <v>34</v>
      </c>
      <c r="G32" s="38" t="s">
        <v>35</v>
      </c>
      <c r="H32" s="38" t="s">
        <v>186</v>
      </c>
      <c r="I32" s="38" t="s">
        <v>57</v>
      </c>
    </row>
    <row r="33" spans="1:9" s="54" customFormat="1">
      <c r="A33" s="38" t="s">
        <v>36</v>
      </c>
      <c r="B33" s="38" t="s">
        <v>229</v>
      </c>
      <c r="C33" s="38" t="s">
        <v>230</v>
      </c>
      <c r="D33" s="38" t="s">
        <v>37</v>
      </c>
      <c r="E33" s="38" t="s">
        <v>38</v>
      </c>
      <c r="F33" s="38" t="s">
        <v>37</v>
      </c>
      <c r="G33" s="38" t="s">
        <v>39</v>
      </c>
      <c r="H33" s="38" t="s">
        <v>185</v>
      </c>
      <c r="I33" s="38" t="s">
        <v>58</v>
      </c>
    </row>
    <row r="34" spans="1:9" s="54" customFormat="1">
      <c r="A34" s="38" t="s">
        <v>40</v>
      </c>
      <c r="B34" s="38" t="s">
        <v>231</v>
      </c>
      <c r="C34" s="38" t="s">
        <v>232</v>
      </c>
      <c r="D34" s="38" t="s">
        <v>233</v>
      </c>
      <c r="E34" s="38" t="s">
        <v>41</v>
      </c>
      <c r="F34" s="38" t="s">
        <v>42</v>
      </c>
      <c r="G34" s="38" t="s">
        <v>244</v>
      </c>
      <c r="H34" s="58" t="s">
        <v>245</v>
      </c>
      <c r="I34" s="38" t="s">
        <v>59</v>
      </c>
    </row>
    <row r="35" spans="1:9" s="54" customFormat="1">
      <c r="A35" s="38">
        <v>1</v>
      </c>
      <c r="B35" s="59"/>
      <c r="C35" s="59"/>
      <c r="D35" s="59"/>
      <c r="E35" s="60"/>
      <c r="F35" s="35"/>
      <c r="G35" s="61"/>
      <c r="H35" s="61"/>
      <c r="I35" s="38" t="s">
        <v>58</v>
      </c>
    </row>
    <row r="36" spans="1:9" s="54" customFormat="1">
      <c r="A36" s="38">
        <v>2</v>
      </c>
      <c r="B36" s="59"/>
      <c r="C36" s="59"/>
      <c r="D36" s="59"/>
      <c r="E36" s="60"/>
      <c r="F36" s="35"/>
      <c r="G36" s="61"/>
      <c r="H36" s="61"/>
      <c r="I36" s="38" t="s">
        <v>58</v>
      </c>
    </row>
    <row r="37" spans="1:9" s="54" customFormat="1">
      <c r="A37" s="38">
        <v>3</v>
      </c>
      <c r="B37" s="59"/>
      <c r="C37" s="59"/>
      <c r="D37" s="59"/>
      <c r="E37" s="60"/>
      <c r="F37" s="35"/>
      <c r="G37" s="61"/>
      <c r="H37" s="61"/>
      <c r="I37" s="38" t="s">
        <v>58</v>
      </c>
    </row>
    <row r="38" spans="1:9" s="54" customFormat="1">
      <c r="A38" s="38">
        <v>4</v>
      </c>
      <c r="B38" s="59"/>
      <c r="C38" s="59"/>
      <c r="D38" s="59"/>
      <c r="E38" s="60"/>
      <c r="F38" s="35"/>
      <c r="G38" s="61"/>
      <c r="H38" s="61"/>
      <c r="I38" s="38" t="s">
        <v>58</v>
      </c>
    </row>
    <row r="39" spans="1:9" s="54" customFormat="1">
      <c r="A39" s="38">
        <v>5</v>
      </c>
      <c r="B39" s="59"/>
      <c r="C39" s="59"/>
      <c r="D39" s="59"/>
      <c r="E39" s="60"/>
      <c r="F39" s="35"/>
      <c r="G39" s="61"/>
      <c r="H39" s="61"/>
      <c r="I39" s="38" t="s">
        <v>58</v>
      </c>
    </row>
    <row r="40" spans="1:9" s="54" customFormat="1">
      <c r="A40" s="38">
        <v>6</v>
      </c>
      <c r="B40" s="59"/>
      <c r="C40" s="59"/>
      <c r="D40" s="59"/>
      <c r="E40" s="60"/>
      <c r="F40" s="35"/>
      <c r="G40" s="61"/>
      <c r="H40" s="61"/>
      <c r="I40" s="38" t="s">
        <v>58</v>
      </c>
    </row>
    <row r="41" spans="1:9" s="54" customFormat="1">
      <c r="A41" s="38">
        <v>7</v>
      </c>
      <c r="B41" s="59"/>
      <c r="C41" s="59"/>
      <c r="D41" s="59"/>
      <c r="E41" s="60"/>
      <c r="F41" s="35"/>
      <c r="G41" s="61"/>
      <c r="H41" s="61"/>
      <c r="I41" s="38" t="s">
        <v>58</v>
      </c>
    </row>
    <row r="42" spans="1:9" s="54" customFormat="1">
      <c r="A42" s="38">
        <v>8</v>
      </c>
      <c r="B42" s="59"/>
      <c r="C42" s="59"/>
      <c r="D42" s="59"/>
      <c r="E42" s="60"/>
      <c r="F42" s="35"/>
      <c r="G42" s="61"/>
      <c r="H42" s="61"/>
      <c r="I42" s="38" t="s">
        <v>58</v>
      </c>
    </row>
    <row r="43" spans="1:9" s="54" customFormat="1">
      <c r="A43" s="38">
        <v>9</v>
      </c>
      <c r="B43" s="59"/>
      <c r="C43" s="59"/>
      <c r="D43" s="59"/>
      <c r="E43" s="60"/>
      <c r="F43" s="35"/>
      <c r="G43" s="61"/>
      <c r="H43" s="61"/>
      <c r="I43" s="38" t="s">
        <v>58</v>
      </c>
    </row>
    <row r="44" spans="1:9" s="54" customFormat="1" ht="20.5" thickBot="1">
      <c r="A44" s="62">
        <v>10</v>
      </c>
      <c r="B44" s="63"/>
      <c r="C44" s="63"/>
      <c r="D44" s="63"/>
      <c r="E44" s="60"/>
      <c r="F44" s="35"/>
      <c r="G44" s="61"/>
      <c r="H44" s="61"/>
      <c r="I44" s="62" t="s">
        <v>58</v>
      </c>
    </row>
    <row r="45" spans="1:9" ht="20.5" thickBot="1">
      <c r="A45" s="64" t="s">
        <v>43</v>
      </c>
      <c r="B45" s="64" t="str">
        <f>IF(SUM(B35:B44)&gt;0,IF(OR(MIN(B35:B44)&lt;6.98,MAX(B35:B44)&gt;7.22),"1","0"),"")</f>
        <v/>
      </c>
      <c r="C45" s="64" t="str">
        <f>IF(SUM(C35:C44)&gt;0,IF(OR(MIN(C35:C44)&lt;2.6,MAX(C35:C44)&gt;3.2),"1","0"),"")</f>
        <v/>
      </c>
      <c r="D45" s="64" t="str">
        <f>IF(SUM(D35:D44)&gt;0,IF(OR(MIN(D35:D44)&lt;4.7,MAX(D35:D44)&gt;5.3),"1","0"),"")</f>
        <v/>
      </c>
      <c r="E45" s="64" t="str">
        <f>IF(SUM(E35:E44)&gt;0,IF(OR(MIN(E35:E44)&lt;100,MAX(E35:E44)&gt;100000000),"1","0"),"")</f>
        <v/>
      </c>
      <c r="F45" s="64" t="str">
        <f>IF(SUM(F35:F44)&gt;0,IF(OR(MIN(F35:F44)&lt;2040,MAX(F35:F44)&gt;3060),"1","0"),"")</f>
        <v/>
      </c>
      <c r="G45" s="64" t="str">
        <f>IF(SUM(G35:G44)&gt;0,IF(OR(MIN(G35:G44)&lt;39.7,MAX(G35:G44)&gt;41.3),"1","0"),"")</f>
        <v/>
      </c>
      <c r="H45" s="64" t="str">
        <f>IF(SUM(H35:H44)&gt;0,IF(OR(MIN(H35:H44)&lt;117,MAX(H35:H44)&gt;122),"1","0"),"")</f>
        <v/>
      </c>
      <c r="I45" s="64" t="s">
        <v>58</v>
      </c>
    </row>
    <row r="46" spans="1:9" ht="20.5" thickBot="1">
      <c r="A46" s="64" t="s">
        <v>44</v>
      </c>
      <c r="B46" s="64" t="str">
        <f>IF(SUM(B35:B44)&gt;0,IF(OR(MIN(B35:B44)&lt;6.98,MAX(B35:B44)&gt;7.22),"NG","G"),"")</f>
        <v/>
      </c>
      <c r="C46" s="64" t="str">
        <f>IF(SUM(C35:C44)&gt;0,IF(OR(MIN(C35:C44)&lt;2.6,MAX(C35:C44)&gt;3.2),"NG","G"),"")</f>
        <v/>
      </c>
      <c r="D46" s="64" t="str">
        <f>IF(SUM(D35:D44)&gt;0,IF(OR(MIN(D35:D44)&lt;4.7,MAX(D35:D44)&gt;5.3),"NG","G"),"")</f>
        <v/>
      </c>
      <c r="E46" s="64" t="str">
        <f>IF(SUM(E35:E44)&gt;0,IF(OR(MIN(E35:E44)&lt;100,MAX(E35:E44)&gt;100000000),"NG","G"),"")</f>
        <v/>
      </c>
      <c r="F46" s="64" t="str">
        <f>IF(SUM(F35:F44)&gt;0,IF(OR(MIN(F35:F44)&lt;2040,MAX(F35:F44)&gt;3060),"NG","G"),"")</f>
        <v/>
      </c>
      <c r="G46" s="64" t="str">
        <f>IF(SUM(G35:G44)&gt;0,IF(OR(MIN(G35:G44)&lt;39.7,MAX(G35:G44)&gt;41.3),"NG","G"),"")</f>
        <v/>
      </c>
      <c r="H46" s="64" t="str">
        <f>IF(SUM(H35:H44)&gt;0,IF(OR(MIN(H35:H44)&lt;117,MAX(H35:H44)&gt;122),"NG","G"),"")</f>
        <v/>
      </c>
      <c r="I46" s="64" t="s">
        <v>58</v>
      </c>
    </row>
    <row r="47" spans="1:9">
      <c r="A47" s="30" t="s">
        <v>45</v>
      </c>
    </row>
    <row r="48" spans="1:9" ht="21.75" customHeight="1">
      <c r="A48" s="228" t="s">
        <v>13</v>
      </c>
      <c r="B48" s="229"/>
      <c r="C48" s="229"/>
      <c r="D48" s="229"/>
      <c r="E48" s="228" t="s">
        <v>234</v>
      </c>
      <c r="F48" s="230"/>
      <c r="G48" s="65" t="s">
        <v>235</v>
      </c>
      <c r="H48" s="66" t="s">
        <v>60</v>
      </c>
      <c r="I48" s="67" t="s">
        <v>46</v>
      </c>
    </row>
    <row r="49" spans="1:9" ht="32.25" customHeight="1">
      <c r="A49" s="261" t="str">
        <f>IF(AND(B46="",C46="",D46="",E46="",F46="",G46="",H46=""),"",IF(AND(B46="G",C46="G",D46="G",E46="G",F46="G",G46="G",H46="G"),"PASS","NG"))</f>
        <v/>
      </c>
      <c r="B49" s="262"/>
      <c r="C49" s="262"/>
      <c r="D49" s="262"/>
      <c r="E49" s="267" t="str">
        <f>CONCATENATE("*",E50,"*")</f>
        <v>**</v>
      </c>
      <c r="F49" s="268"/>
      <c r="G49" s="68" t="s">
        <v>61</v>
      </c>
      <c r="H49" s="69" t="s">
        <v>62</v>
      </c>
      <c r="I49" s="70" t="s">
        <v>47</v>
      </c>
    </row>
    <row r="50" spans="1:9" ht="26.25" customHeight="1">
      <c r="A50" s="263"/>
      <c r="B50" s="264"/>
      <c r="C50" s="264"/>
      <c r="D50" s="264"/>
      <c r="E50" s="269"/>
      <c r="F50" s="270"/>
      <c r="G50" s="68" t="s">
        <v>63</v>
      </c>
      <c r="H50" s="69" t="s">
        <v>64</v>
      </c>
      <c r="I50" s="71"/>
    </row>
    <row r="51" spans="1:9" ht="26.25" customHeight="1">
      <c r="A51" s="265"/>
      <c r="B51" s="266"/>
      <c r="C51" s="266"/>
      <c r="D51" s="266"/>
      <c r="E51" s="271"/>
      <c r="F51" s="272"/>
      <c r="G51" s="72" t="s">
        <v>48</v>
      </c>
      <c r="H51" s="73"/>
      <c r="I51" s="74"/>
    </row>
  </sheetData>
  <mergeCells count="38">
    <mergeCell ref="B32:D32"/>
    <mergeCell ref="A48:D48"/>
    <mergeCell ref="E48:F48"/>
    <mergeCell ref="A49:D51"/>
    <mergeCell ref="E49:F49"/>
    <mergeCell ref="E50:F51"/>
    <mergeCell ref="B31:E31"/>
    <mergeCell ref="G31:H31"/>
    <mergeCell ref="A19:D19"/>
    <mergeCell ref="A20:D20"/>
    <mergeCell ref="A21:D21"/>
    <mergeCell ref="A22:D22"/>
    <mergeCell ref="A23:D23"/>
    <mergeCell ref="A24:D24"/>
    <mergeCell ref="A25:D25"/>
    <mergeCell ref="A26:D26"/>
    <mergeCell ref="A27:E27"/>
    <mergeCell ref="A28:I28"/>
    <mergeCell ref="H29:I29"/>
    <mergeCell ref="A18:D18"/>
    <mergeCell ref="H18:I18"/>
    <mergeCell ref="D8:E8"/>
    <mergeCell ref="G8:I8"/>
    <mergeCell ref="A10:F10"/>
    <mergeCell ref="G10:H10"/>
    <mergeCell ref="G11:H11"/>
    <mergeCell ref="G12:H12"/>
    <mergeCell ref="G13:H13"/>
    <mergeCell ref="G14:H14"/>
    <mergeCell ref="G15:H15"/>
    <mergeCell ref="G16:H16"/>
    <mergeCell ref="A17:F17"/>
    <mergeCell ref="D7:E7"/>
    <mergeCell ref="E3:G3"/>
    <mergeCell ref="A4:G4"/>
    <mergeCell ref="D5:E5"/>
    <mergeCell ref="G5:I5"/>
    <mergeCell ref="D6:E6"/>
  </mergeCells>
  <pageMargins left="0.25" right="0.25" top="0.25" bottom="0.25" header="0" footer="0"/>
  <pageSetup paperSize="9" scale="65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D1056"/>
  <sheetViews>
    <sheetView topLeftCell="A13" workbookViewId="0">
      <selection activeCell="B1" sqref="B1:B1048576"/>
    </sheetView>
  </sheetViews>
  <sheetFormatPr defaultRowHeight="13"/>
  <cols>
    <col min="1" max="1" width="6.7265625" style="18" customWidth="1"/>
    <col min="2" max="2" width="29.453125" bestFit="1" customWidth="1"/>
    <col min="3" max="3" width="18.90625" style="18" bestFit="1" customWidth="1"/>
  </cols>
  <sheetData>
    <row r="1" spans="1:3">
      <c r="A1" s="11">
        <v>1</v>
      </c>
      <c r="B1" s="96"/>
      <c r="C1" s="11" t="s">
        <v>246</v>
      </c>
    </row>
    <row r="2" spans="1:3">
      <c r="A2" s="11">
        <v>2</v>
      </c>
      <c r="B2" s="96"/>
      <c r="C2" s="11" t="s">
        <v>32</v>
      </c>
    </row>
    <row r="3" spans="1:3">
      <c r="A3" s="11">
        <v>3</v>
      </c>
      <c r="B3" s="28"/>
      <c r="C3" s="11" t="s">
        <v>247</v>
      </c>
    </row>
    <row r="4" spans="1:3">
      <c r="A4" s="11">
        <v>4</v>
      </c>
      <c r="B4" s="28"/>
      <c r="C4" s="11" t="s">
        <v>248</v>
      </c>
    </row>
    <row r="5" spans="1:3">
      <c r="A5" s="11">
        <v>5</v>
      </c>
      <c r="B5" s="28"/>
      <c r="C5" s="11" t="s">
        <v>249</v>
      </c>
    </row>
    <row r="6" spans="1:3">
      <c r="A6" s="11">
        <v>6</v>
      </c>
      <c r="B6" s="28"/>
      <c r="C6" s="11" t="s">
        <v>172</v>
      </c>
    </row>
    <row r="7" spans="1:3">
      <c r="A7" s="11">
        <v>7</v>
      </c>
      <c r="B7" s="28"/>
      <c r="C7" s="11" t="s">
        <v>69</v>
      </c>
    </row>
    <row r="8" spans="1:3">
      <c r="A8" s="11">
        <v>8</v>
      </c>
      <c r="B8" s="28"/>
      <c r="C8" s="11" t="s">
        <v>70</v>
      </c>
    </row>
    <row r="9" spans="1:3">
      <c r="A9" s="11">
        <v>9</v>
      </c>
      <c r="B9" s="2"/>
      <c r="C9" s="11" t="s">
        <v>71</v>
      </c>
    </row>
    <row r="10" spans="1:3">
      <c r="A10" s="11">
        <v>10</v>
      </c>
      <c r="B10" s="28"/>
      <c r="C10" s="11" t="s">
        <v>198</v>
      </c>
    </row>
    <row r="11" spans="1:3">
      <c r="A11" s="11">
        <v>11</v>
      </c>
      <c r="B11" s="28"/>
      <c r="C11" s="11" t="s">
        <v>72</v>
      </c>
    </row>
    <row r="12" spans="1:3">
      <c r="A12" s="11">
        <v>12</v>
      </c>
      <c r="B12" s="89"/>
      <c r="C12" s="11" t="s">
        <v>73</v>
      </c>
    </row>
    <row r="13" spans="1:3">
      <c r="A13" s="11">
        <v>13</v>
      </c>
      <c r="B13" s="2"/>
      <c r="C13" s="11" t="s">
        <v>74</v>
      </c>
    </row>
    <row r="14" spans="1:3">
      <c r="A14" s="11">
        <v>14</v>
      </c>
      <c r="B14" s="2"/>
      <c r="C14" s="11" t="s">
        <v>75</v>
      </c>
    </row>
    <row r="15" spans="1:3">
      <c r="A15" s="11">
        <v>15</v>
      </c>
      <c r="B15" s="28"/>
      <c r="C15" s="11" t="s">
        <v>76</v>
      </c>
    </row>
    <row r="16" spans="1:3">
      <c r="A16" s="11">
        <v>16</v>
      </c>
      <c r="B16" s="90"/>
      <c r="C16" s="12" t="s">
        <v>77</v>
      </c>
    </row>
    <row r="17" spans="1:3">
      <c r="A17" s="97">
        <v>17</v>
      </c>
      <c r="B17" s="29"/>
      <c r="C17" s="19" t="s">
        <v>78</v>
      </c>
    </row>
    <row r="18" spans="1:3">
      <c r="A18" s="98">
        <v>18</v>
      </c>
      <c r="B18" s="20"/>
      <c r="C18" s="13" t="s">
        <v>79</v>
      </c>
    </row>
    <row r="19" spans="1:3">
      <c r="A19" s="98">
        <v>19</v>
      </c>
      <c r="B19" s="20"/>
      <c r="C19" s="13" t="s">
        <v>80</v>
      </c>
    </row>
    <row r="20" spans="1:3">
      <c r="A20" s="98">
        <v>20</v>
      </c>
      <c r="B20" s="20"/>
      <c r="C20" s="13" t="s">
        <v>81</v>
      </c>
    </row>
    <row r="21" spans="1:3">
      <c r="A21" s="98">
        <v>21</v>
      </c>
      <c r="B21" s="20"/>
      <c r="C21" s="13" t="s">
        <v>82</v>
      </c>
    </row>
    <row r="22" spans="1:3">
      <c r="A22" s="98">
        <v>22</v>
      </c>
      <c r="B22" s="20"/>
      <c r="C22" s="13" t="s">
        <v>83</v>
      </c>
    </row>
    <row r="23" spans="1:3">
      <c r="A23" s="98">
        <v>23</v>
      </c>
      <c r="B23" s="20"/>
      <c r="C23" s="13" t="s">
        <v>84</v>
      </c>
    </row>
    <row r="24" spans="1:3">
      <c r="A24" s="98">
        <v>24</v>
      </c>
      <c r="B24" s="20"/>
      <c r="C24" s="13" t="s">
        <v>85</v>
      </c>
    </row>
    <row r="25" spans="1:3">
      <c r="A25" s="98">
        <v>25</v>
      </c>
      <c r="B25" s="20"/>
      <c r="C25" s="13" t="s">
        <v>86</v>
      </c>
    </row>
    <row r="26" spans="1:3">
      <c r="A26" s="98">
        <v>26</v>
      </c>
      <c r="B26" s="20"/>
      <c r="C26" s="13" t="s">
        <v>87</v>
      </c>
    </row>
    <row r="27" spans="1:3">
      <c r="A27" s="98">
        <v>27</v>
      </c>
      <c r="B27" s="20"/>
      <c r="C27" s="13" t="s">
        <v>89</v>
      </c>
    </row>
    <row r="28" spans="1:3">
      <c r="A28" s="98">
        <v>28</v>
      </c>
      <c r="B28" s="20"/>
      <c r="C28" s="13" t="s">
        <v>88</v>
      </c>
    </row>
    <row r="29" spans="1:3">
      <c r="A29" s="98">
        <v>29</v>
      </c>
      <c r="B29" s="20"/>
      <c r="C29" s="13" t="s">
        <v>90</v>
      </c>
    </row>
    <row r="30" spans="1:3">
      <c r="A30" s="98">
        <v>30</v>
      </c>
      <c r="B30" s="20"/>
      <c r="C30" s="13" t="s">
        <v>91</v>
      </c>
    </row>
    <row r="31" spans="1:3">
      <c r="A31" s="98">
        <v>31</v>
      </c>
      <c r="B31" s="20"/>
      <c r="C31" s="13" t="s">
        <v>92</v>
      </c>
    </row>
    <row r="32" spans="1:3">
      <c r="A32" s="99">
        <v>32</v>
      </c>
      <c r="B32" s="22"/>
      <c r="C32" s="21" t="s">
        <v>93</v>
      </c>
    </row>
    <row r="33" spans="1:3">
      <c r="A33" s="14">
        <v>33</v>
      </c>
      <c r="B33" s="24"/>
      <c r="C33" s="23" t="s">
        <v>94</v>
      </c>
    </row>
    <row r="34" spans="1:3">
      <c r="A34" s="14">
        <v>34</v>
      </c>
      <c r="B34" s="25"/>
      <c r="C34" s="14" t="s">
        <v>95</v>
      </c>
    </row>
    <row r="35" spans="1:3">
      <c r="A35" s="14">
        <v>35</v>
      </c>
      <c r="B35" s="25"/>
      <c r="C35" s="14" t="s">
        <v>96</v>
      </c>
    </row>
    <row r="36" spans="1:3">
      <c r="A36" s="14">
        <v>36</v>
      </c>
      <c r="B36" s="25"/>
      <c r="C36" s="14" t="s">
        <v>97</v>
      </c>
    </row>
    <row r="37" spans="1:3">
      <c r="A37" s="14">
        <v>37</v>
      </c>
      <c r="B37" s="25"/>
      <c r="C37" s="14" t="s">
        <v>98</v>
      </c>
    </row>
    <row r="38" spans="1:3">
      <c r="A38" s="14">
        <v>38</v>
      </c>
      <c r="B38" s="25"/>
      <c r="C38" s="14" t="s">
        <v>99</v>
      </c>
    </row>
    <row r="39" spans="1:3">
      <c r="A39" s="14">
        <v>39</v>
      </c>
      <c r="B39" s="25"/>
      <c r="C39" s="14" t="s">
        <v>100</v>
      </c>
    </row>
    <row r="40" spans="1:3">
      <c r="A40" s="14">
        <v>40</v>
      </c>
      <c r="B40" s="25"/>
      <c r="C40" s="14" t="s">
        <v>101</v>
      </c>
    </row>
    <row r="41" spans="1:3">
      <c r="A41" s="14">
        <v>41</v>
      </c>
      <c r="B41" s="25"/>
      <c r="C41" s="14" t="s">
        <v>102</v>
      </c>
    </row>
    <row r="42" spans="1:3">
      <c r="A42" s="14">
        <v>42</v>
      </c>
      <c r="B42" s="25"/>
      <c r="C42" s="14" t="s">
        <v>103</v>
      </c>
    </row>
    <row r="43" spans="1:3">
      <c r="A43" s="14">
        <v>43</v>
      </c>
      <c r="B43" s="25"/>
      <c r="C43" s="14" t="s">
        <v>104</v>
      </c>
    </row>
    <row r="44" spans="1:3">
      <c r="A44" s="14">
        <v>44</v>
      </c>
      <c r="B44" s="25"/>
      <c r="C44" s="14" t="s">
        <v>105</v>
      </c>
    </row>
    <row r="45" spans="1:3">
      <c r="A45" s="14">
        <v>45</v>
      </c>
      <c r="B45" s="25"/>
      <c r="C45" s="14" t="s">
        <v>106</v>
      </c>
    </row>
    <row r="46" spans="1:3">
      <c r="A46" s="14">
        <v>46</v>
      </c>
      <c r="B46" s="24"/>
      <c r="C46" s="23" t="s">
        <v>199</v>
      </c>
    </row>
    <row r="47" spans="1:3">
      <c r="A47" s="14">
        <v>47</v>
      </c>
      <c r="B47" s="91"/>
      <c r="C47" s="14" t="s">
        <v>200</v>
      </c>
    </row>
    <row r="48" spans="1:3">
      <c r="A48" s="14">
        <v>48</v>
      </c>
      <c r="B48" s="25"/>
      <c r="C48" s="14" t="s">
        <v>225</v>
      </c>
    </row>
    <row r="49" spans="1:4">
      <c r="A49" s="14">
        <v>49</v>
      </c>
      <c r="B49" s="25"/>
      <c r="C49" s="14" t="s">
        <v>201</v>
      </c>
    </row>
    <row r="50" spans="1:4">
      <c r="A50" s="14">
        <v>50</v>
      </c>
      <c r="B50" s="25"/>
      <c r="C50" s="14" t="s">
        <v>202</v>
      </c>
    </row>
    <row r="51" spans="1:4">
      <c r="A51" s="14">
        <v>51</v>
      </c>
      <c r="B51" s="25"/>
      <c r="C51" s="14" t="s">
        <v>203</v>
      </c>
    </row>
    <row r="52" spans="1:4">
      <c r="A52" s="14">
        <v>52</v>
      </c>
      <c r="B52" s="25"/>
      <c r="C52" s="14" t="s">
        <v>204</v>
      </c>
    </row>
    <row r="53" spans="1:4">
      <c r="A53" s="14">
        <v>53</v>
      </c>
      <c r="B53" s="25"/>
      <c r="C53" s="14" t="s">
        <v>205</v>
      </c>
    </row>
    <row r="54" spans="1:4">
      <c r="A54" s="14">
        <v>54</v>
      </c>
      <c r="B54" s="25"/>
      <c r="C54" s="14" t="s">
        <v>206</v>
      </c>
    </row>
    <row r="55" spans="1:4">
      <c r="A55" s="26">
        <v>55</v>
      </c>
      <c r="B55" s="27"/>
      <c r="C55" s="26" t="s">
        <v>207</v>
      </c>
    </row>
    <row r="56" spans="1:4">
      <c r="A56" s="15">
        <v>56</v>
      </c>
      <c r="B56" s="3"/>
      <c r="C56" s="15" t="s">
        <v>107</v>
      </c>
      <c r="D56" t="s">
        <v>132</v>
      </c>
    </row>
    <row r="57" spans="1:4">
      <c r="A57" s="15">
        <v>57</v>
      </c>
      <c r="B57" s="3"/>
      <c r="C57" s="15" t="s">
        <v>108</v>
      </c>
      <c r="D57" t="s">
        <v>132</v>
      </c>
    </row>
    <row r="58" spans="1:4">
      <c r="A58" s="15">
        <v>58</v>
      </c>
      <c r="B58" s="3"/>
      <c r="C58" s="15" t="s">
        <v>109</v>
      </c>
      <c r="D58" t="s">
        <v>132</v>
      </c>
    </row>
    <row r="59" spans="1:4">
      <c r="A59" s="15">
        <v>59</v>
      </c>
      <c r="B59" s="3"/>
      <c r="C59" s="15" t="s">
        <v>110</v>
      </c>
      <c r="D59" t="s">
        <v>132</v>
      </c>
    </row>
    <row r="60" spans="1:4">
      <c r="A60" s="15">
        <v>60</v>
      </c>
      <c r="B60" s="3"/>
      <c r="C60" s="15" t="s">
        <v>111</v>
      </c>
      <c r="D60" t="s">
        <v>132</v>
      </c>
    </row>
    <row r="61" spans="1:4">
      <c r="A61" s="15">
        <v>61</v>
      </c>
      <c r="B61" s="3"/>
      <c r="C61" s="15" t="s">
        <v>112</v>
      </c>
      <c r="D61" t="s">
        <v>132</v>
      </c>
    </row>
    <row r="62" spans="1:4">
      <c r="A62" s="15">
        <v>62</v>
      </c>
      <c r="B62" s="3"/>
      <c r="C62" s="15" t="s">
        <v>113</v>
      </c>
      <c r="D62" t="s">
        <v>132</v>
      </c>
    </row>
    <row r="63" spans="1:4">
      <c r="A63" s="15">
        <v>63</v>
      </c>
      <c r="B63" s="3"/>
      <c r="C63" s="15" t="s">
        <v>114</v>
      </c>
      <c r="D63" t="s">
        <v>132</v>
      </c>
    </row>
    <row r="64" spans="1:4">
      <c r="A64" s="15">
        <v>64</v>
      </c>
      <c r="B64" s="3"/>
      <c r="C64" s="15" t="s">
        <v>115</v>
      </c>
      <c r="D64" t="s">
        <v>132</v>
      </c>
    </row>
    <row r="65" spans="1:4">
      <c r="A65" s="15">
        <v>65</v>
      </c>
      <c r="B65" s="3"/>
      <c r="C65" s="15" t="s">
        <v>116</v>
      </c>
      <c r="D65" t="s">
        <v>132</v>
      </c>
    </row>
    <row r="66" spans="1:4">
      <c r="A66" s="15">
        <v>66</v>
      </c>
      <c r="B66" s="3"/>
      <c r="C66" s="15" t="s">
        <v>117</v>
      </c>
      <c r="D66" t="s">
        <v>132</v>
      </c>
    </row>
    <row r="67" spans="1:4">
      <c r="A67" s="15">
        <v>67</v>
      </c>
      <c r="B67" s="3"/>
      <c r="C67" s="15" t="s">
        <v>118</v>
      </c>
      <c r="D67" t="s">
        <v>132</v>
      </c>
    </row>
    <row r="68" spans="1:4">
      <c r="A68" s="15">
        <v>68</v>
      </c>
      <c r="B68" s="3"/>
      <c r="C68" s="15" t="s">
        <v>119</v>
      </c>
      <c r="D68" t="s">
        <v>132</v>
      </c>
    </row>
    <row r="69" spans="1:4">
      <c r="A69" s="15">
        <v>69</v>
      </c>
      <c r="B69" s="3"/>
      <c r="C69" s="15" t="s">
        <v>120</v>
      </c>
      <c r="D69" t="s">
        <v>132</v>
      </c>
    </row>
    <row r="70" spans="1:4">
      <c r="A70" s="15">
        <v>70</v>
      </c>
      <c r="B70" s="3"/>
      <c r="C70" s="15" t="s">
        <v>122</v>
      </c>
      <c r="D70" t="s">
        <v>132</v>
      </c>
    </row>
    <row r="71" spans="1:4">
      <c r="A71" s="15">
        <v>71</v>
      </c>
      <c r="B71" s="3"/>
      <c r="C71" s="15" t="s">
        <v>123</v>
      </c>
      <c r="D71" t="s">
        <v>132</v>
      </c>
    </row>
    <row r="72" spans="1:4">
      <c r="A72" s="15">
        <v>72</v>
      </c>
      <c r="B72" s="3"/>
      <c r="C72" s="15" t="s">
        <v>124</v>
      </c>
      <c r="D72" t="s">
        <v>132</v>
      </c>
    </row>
    <row r="73" spans="1:4">
      <c r="A73" s="15">
        <v>73</v>
      </c>
      <c r="B73" s="3"/>
      <c r="C73" s="15" t="s">
        <v>125</v>
      </c>
      <c r="D73" t="s">
        <v>132</v>
      </c>
    </row>
    <row r="74" spans="1:4">
      <c r="A74" s="15">
        <v>74</v>
      </c>
      <c r="B74" s="3"/>
      <c r="C74" s="15" t="s">
        <v>126</v>
      </c>
      <c r="D74" t="s">
        <v>132</v>
      </c>
    </row>
    <row r="75" spans="1:4">
      <c r="A75" s="15">
        <v>75</v>
      </c>
      <c r="B75" s="3"/>
      <c r="C75" s="15" t="s">
        <v>127</v>
      </c>
      <c r="D75" t="s">
        <v>132</v>
      </c>
    </row>
    <row r="76" spans="1:4">
      <c r="A76" s="15">
        <v>76</v>
      </c>
      <c r="B76" s="3"/>
      <c r="C76" s="15" t="s">
        <v>128</v>
      </c>
      <c r="D76" t="s">
        <v>132</v>
      </c>
    </row>
    <row r="77" spans="1:4">
      <c r="A77" s="15">
        <v>77</v>
      </c>
      <c r="B77" s="3"/>
      <c r="C77" s="15" t="s">
        <v>129</v>
      </c>
      <c r="D77" t="s">
        <v>132</v>
      </c>
    </row>
    <row r="78" spans="1:4">
      <c r="A78" s="15">
        <v>78</v>
      </c>
      <c r="B78" s="3"/>
      <c r="C78" s="15" t="s">
        <v>130</v>
      </c>
      <c r="D78" t="s">
        <v>132</v>
      </c>
    </row>
    <row r="79" spans="1:4">
      <c r="A79" s="15">
        <v>79</v>
      </c>
      <c r="B79" s="3"/>
      <c r="C79" s="15" t="s">
        <v>131</v>
      </c>
      <c r="D79" t="s">
        <v>132</v>
      </c>
    </row>
    <row r="80" spans="1:4" s="1" customFormat="1">
      <c r="A80" s="15">
        <v>80</v>
      </c>
      <c r="B80" s="8"/>
      <c r="C80" s="16" t="s">
        <v>121</v>
      </c>
      <c r="D80" s="1" t="s">
        <v>132</v>
      </c>
    </row>
    <row r="81" spans="1:4">
      <c r="A81" s="15">
        <v>81</v>
      </c>
      <c r="B81" s="3"/>
      <c r="C81" s="15" t="s">
        <v>107</v>
      </c>
      <c r="D81" t="s">
        <v>133</v>
      </c>
    </row>
    <row r="82" spans="1:4">
      <c r="A82" s="15">
        <v>82</v>
      </c>
      <c r="B82" s="3"/>
      <c r="C82" s="15" t="s">
        <v>108</v>
      </c>
      <c r="D82" t="s">
        <v>133</v>
      </c>
    </row>
    <row r="83" spans="1:4">
      <c r="A83" s="15">
        <v>83</v>
      </c>
      <c r="B83" s="3"/>
      <c r="C83" s="15" t="s">
        <v>109</v>
      </c>
      <c r="D83" t="s">
        <v>133</v>
      </c>
    </row>
    <row r="84" spans="1:4">
      <c r="A84" s="15">
        <v>84</v>
      </c>
      <c r="B84" s="3"/>
      <c r="C84" s="15" t="s">
        <v>110</v>
      </c>
      <c r="D84" t="s">
        <v>133</v>
      </c>
    </row>
    <row r="85" spans="1:4">
      <c r="A85" s="15">
        <v>85</v>
      </c>
      <c r="B85" s="3"/>
      <c r="C85" s="15" t="s">
        <v>111</v>
      </c>
      <c r="D85" t="s">
        <v>133</v>
      </c>
    </row>
    <row r="86" spans="1:4">
      <c r="A86" s="15">
        <v>86</v>
      </c>
      <c r="B86" s="3"/>
      <c r="C86" s="15" t="s">
        <v>112</v>
      </c>
      <c r="D86" t="s">
        <v>133</v>
      </c>
    </row>
    <row r="87" spans="1:4">
      <c r="A87" s="15">
        <v>87</v>
      </c>
      <c r="B87" s="3"/>
      <c r="C87" s="15" t="s">
        <v>113</v>
      </c>
      <c r="D87" t="s">
        <v>133</v>
      </c>
    </row>
    <row r="88" spans="1:4">
      <c r="A88" s="15">
        <v>88</v>
      </c>
      <c r="B88" s="3"/>
      <c r="C88" s="15" t="s">
        <v>114</v>
      </c>
      <c r="D88" t="s">
        <v>133</v>
      </c>
    </row>
    <row r="89" spans="1:4">
      <c r="A89" s="15">
        <v>89</v>
      </c>
      <c r="B89" s="3"/>
      <c r="C89" s="15" t="s">
        <v>115</v>
      </c>
      <c r="D89" t="s">
        <v>133</v>
      </c>
    </row>
    <row r="90" spans="1:4">
      <c r="A90" s="15">
        <v>90</v>
      </c>
      <c r="B90" s="3"/>
      <c r="C90" s="15" t="s">
        <v>116</v>
      </c>
      <c r="D90" t="s">
        <v>133</v>
      </c>
    </row>
    <row r="91" spans="1:4">
      <c r="A91" s="15">
        <v>91</v>
      </c>
      <c r="B91" s="3"/>
      <c r="C91" s="15" t="s">
        <v>117</v>
      </c>
      <c r="D91" t="s">
        <v>133</v>
      </c>
    </row>
    <row r="92" spans="1:4">
      <c r="A92" s="15">
        <v>92</v>
      </c>
      <c r="B92" s="3"/>
      <c r="C92" s="15" t="s">
        <v>118</v>
      </c>
      <c r="D92" t="s">
        <v>133</v>
      </c>
    </row>
    <row r="93" spans="1:4">
      <c r="A93" s="15">
        <v>93</v>
      </c>
      <c r="B93" s="3"/>
      <c r="C93" s="15" t="s">
        <v>119</v>
      </c>
      <c r="D93" t="s">
        <v>133</v>
      </c>
    </row>
    <row r="94" spans="1:4">
      <c r="A94" s="15">
        <v>94</v>
      </c>
      <c r="B94" s="3"/>
      <c r="C94" s="15" t="s">
        <v>120</v>
      </c>
      <c r="D94" t="s">
        <v>133</v>
      </c>
    </row>
    <row r="95" spans="1:4">
      <c r="A95" s="15">
        <v>95</v>
      </c>
      <c r="B95" s="3"/>
      <c r="C95" s="15" t="s">
        <v>122</v>
      </c>
      <c r="D95" t="s">
        <v>133</v>
      </c>
    </row>
    <row r="96" spans="1:4">
      <c r="A96" s="15">
        <v>96</v>
      </c>
      <c r="B96" s="3"/>
      <c r="C96" s="15" t="s">
        <v>123</v>
      </c>
      <c r="D96" t="s">
        <v>133</v>
      </c>
    </row>
    <row r="97" spans="1:4">
      <c r="A97" s="15">
        <v>97</v>
      </c>
      <c r="B97" s="3"/>
      <c r="C97" s="15" t="s">
        <v>124</v>
      </c>
      <c r="D97" t="s">
        <v>133</v>
      </c>
    </row>
    <row r="98" spans="1:4">
      <c r="A98" s="15">
        <v>98</v>
      </c>
      <c r="B98" s="3"/>
      <c r="C98" s="15" t="s">
        <v>125</v>
      </c>
      <c r="D98" t="s">
        <v>133</v>
      </c>
    </row>
    <row r="99" spans="1:4">
      <c r="A99" s="15">
        <v>99</v>
      </c>
      <c r="B99" s="3"/>
      <c r="C99" s="15" t="s">
        <v>126</v>
      </c>
      <c r="D99" t="s">
        <v>133</v>
      </c>
    </row>
    <row r="100" spans="1:4">
      <c r="A100" s="15">
        <v>100</v>
      </c>
      <c r="B100" s="3"/>
      <c r="C100" s="15" t="s">
        <v>127</v>
      </c>
      <c r="D100" t="s">
        <v>133</v>
      </c>
    </row>
    <row r="101" spans="1:4">
      <c r="A101" s="15">
        <v>101</v>
      </c>
      <c r="B101" s="3"/>
      <c r="C101" s="15" t="s">
        <v>128</v>
      </c>
      <c r="D101" t="s">
        <v>133</v>
      </c>
    </row>
    <row r="102" spans="1:4">
      <c r="A102" s="15">
        <v>102</v>
      </c>
      <c r="B102" s="3"/>
      <c r="C102" s="15" t="s">
        <v>129</v>
      </c>
      <c r="D102" t="s">
        <v>133</v>
      </c>
    </row>
    <row r="103" spans="1:4">
      <c r="A103" s="15">
        <v>103</v>
      </c>
      <c r="B103" s="3"/>
      <c r="C103" s="15" t="s">
        <v>130</v>
      </c>
      <c r="D103" t="s">
        <v>133</v>
      </c>
    </row>
    <row r="104" spans="1:4">
      <c r="A104" s="15">
        <v>104</v>
      </c>
      <c r="B104" s="3"/>
      <c r="C104" s="15" t="s">
        <v>131</v>
      </c>
      <c r="D104" t="s">
        <v>133</v>
      </c>
    </row>
    <row r="105" spans="1:4" s="7" customFormat="1">
      <c r="A105" s="15">
        <v>105</v>
      </c>
      <c r="B105" s="6"/>
      <c r="C105" s="15" t="s">
        <v>121</v>
      </c>
      <c r="D105" s="7" t="s">
        <v>133</v>
      </c>
    </row>
    <row r="106" spans="1:4" s="5" customFormat="1">
      <c r="A106" s="15">
        <v>106</v>
      </c>
      <c r="B106" s="4"/>
      <c r="C106" s="17" t="s">
        <v>107</v>
      </c>
      <c r="D106" s="5" t="s">
        <v>134</v>
      </c>
    </row>
    <row r="107" spans="1:4">
      <c r="A107" s="15">
        <v>107</v>
      </c>
      <c r="B107" s="6"/>
      <c r="C107" s="15" t="s">
        <v>108</v>
      </c>
      <c r="D107" t="s">
        <v>134</v>
      </c>
    </row>
    <row r="108" spans="1:4">
      <c r="A108" s="15">
        <v>108</v>
      </c>
      <c r="B108" s="6"/>
      <c r="C108" s="15" t="s">
        <v>109</v>
      </c>
      <c r="D108" t="s">
        <v>134</v>
      </c>
    </row>
    <row r="109" spans="1:4">
      <c r="A109" s="15">
        <v>109</v>
      </c>
      <c r="B109" s="6"/>
      <c r="C109" s="15" t="s">
        <v>110</v>
      </c>
      <c r="D109" t="s">
        <v>134</v>
      </c>
    </row>
    <row r="110" spans="1:4">
      <c r="A110" s="15">
        <v>110</v>
      </c>
      <c r="B110" s="6"/>
      <c r="C110" s="15" t="s">
        <v>111</v>
      </c>
      <c r="D110" t="s">
        <v>134</v>
      </c>
    </row>
    <row r="111" spans="1:4">
      <c r="A111" s="15">
        <v>111</v>
      </c>
      <c r="B111" s="6"/>
      <c r="C111" s="15" t="s">
        <v>112</v>
      </c>
      <c r="D111" t="s">
        <v>134</v>
      </c>
    </row>
    <row r="112" spans="1:4">
      <c r="A112" s="15">
        <v>112</v>
      </c>
      <c r="B112" s="6"/>
      <c r="C112" s="15" t="s">
        <v>113</v>
      </c>
      <c r="D112" t="s">
        <v>134</v>
      </c>
    </row>
    <row r="113" spans="1:4">
      <c r="A113" s="15">
        <v>113</v>
      </c>
      <c r="B113" s="6"/>
      <c r="C113" s="15" t="s">
        <v>114</v>
      </c>
      <c r="D113" t="s">
        <v>134</v>
      </c>
    </row>
    <row r="114" spans="1:4">
      <c r="A114" s="15">
        <v>114</v>
      </c>
      <c r="B114" s="6"/>
      <c r="C114" s="15" t="s">
        <v>115</v>
      </c>
      <c r="D114" t="s">
        <v>134</v>
      </c>
    </row>
    <row r="115" spans="1:4">
      <c r="A115" s="15">
        <v>115</v>
      </c>
      <c r="B115" s="6"/>
      <c r="C115" s="15" t="s">
        <v>116</v>
      </c>
      <c r="D115" t="s">
        <v>134</v>
      </c>
    </row>
    <row r="116" spans="1:4">
      <c r="A116" s="15">
        <v>116</v>
      </c>
      <c r="B116" s="6"/>
      <c r="C116" s="15" t="s">
        <v>117</v>
      </c>
      <c r="D116" t="s">
        <v>134</v>
      </c>
    </row>
    <row r="117" spans="1:4">
      <c r="A117" s="15">
        <v>117</v>
      </c>
      <c r="B117" s="6"/>
      <c r="C117" s="15" t="s">
        <v>118</v>
      </c>
      <c r="D117" t="s">
        <v>134</v>
      </c>
    </row>
    <row r="118" spans="1:4">
      <c r="A118" s="15">
        <v>118</v>
      </c>
      <c r="B118" s="6"/>
      <c r="C118" s="15" t="s">
        <v>119</v>
      </c>
      <c r="D118" t="s">
        <v>134</v>
      </c>
    </row>
    <row r="119" spans="1:4">
      <c r="A119" s="15">
        <v>119</v>
      </c>
      <c r="B119" s="6"/>
      <c r="C119" s="15" t="s">
        <v>120</v>
      </c>
      <c r="D119" t="s">
        <v>134</v>
      </c>
    </row>
    <row r="120" spans="1:4">
      <c r="A120" s="15">
        <v>120</v>
      </c>
      <c r="B120" s="6"/>
      <c r="C120" s="15" t="s">
        <v>122</v>
      </c>
      <c r="D120" t="s">
        <v>134</v>
      </c>
    </row>
    <row r="121" spans="1:4">
      <c r="A121" s="15">
        <v>121</v>
      </c>
      <c r="B121" s="6"/>
      <c r="C121" s="15" t="s">
        <v>123</v>
      </c>
      <c r="D121" t="s">
        <v>134</v>
      </c>
    </row>
    <row r="122" spans="1:4">
      <c r="A122" s="15">
        <v>122</v>
      </c>
      <c r="B122" s="6"/>
      <c r="C122" s="15" t="s">
        <v>124</v>
      </c>
      <c r="D122" t="s">
        <v>134</v>
      </c>
    </row>
    <row r="123" spans="1:4">
      <c r="A123" s="15">
        <v>123</v>
      </c>
      <c r="B123" s="6"/>
      <c r="C123" s="15" t="s">
        <v>125</v>
      </c>
      <c r="D123" t="s">
        <v>134</v>
      </c>
    </row>
    <row r="124" spans="1:4">
      <c r="A124" s="15">
        <v>124</v>
      </c>
      <c r="B124" s="6"/>
      <c r="C124" s="15" t="s">
        <v>126</v>
      </c>
      <c r="D124" t="s">
        <v>134</v>
      </c>
    </row>
    <row r="125" spans="1:4">
      <c r="A125" s="15">
        <v>125</v>
      </c>
      <c r="B125" s="6"/>
      <c r="C125" s="15" t="s">
        <v>127</v>
      </c>
      <c r="D125" t="s">
        <v>134</v>
      </c>
    </row>
    <row r="126" spans="1:4">
      <c r="A126" s="15">
        <v>126</v>
      </c>
      <c r="B126" s="6"/>
      <c r="C126" s="15" t="s">
        <v>128</v>
      </c>
      <c r="D126" t="s">
        <v>134</v>
      </c>
    </row>
    <row r="127" spans="1:4">
      <c r="A127" s="15">
        <v>127</v>
      </c>
      <c r="B127" s="6"/>
      <c r="C127" s="15" t="s">
        <v>129</v>
      </c>
      <c r="D127" t="s">
        <v>134</v>
      </c>
    </row>
    <row r="128" spans="1:4">
      <c r="A128" s="15">
        <v>128</v>
      </c>
      <c r="B128" s="6"/>
      <c r="C128" s="15" t="s">
        <v>130</v>
      </c>
      <c r="D128" t="s">
        <v>134</v>
      </c>
    </row>
    <row r="129" spans="1:4">
      <c r="A129" s="15">
        <v>129</v>
      </c>
      <c r="B129" s="6"/>
      <c r="C129" s="15" t="s">
        <v>131</v>
      </c>
      <c r="D129" t="s">
        <v>134</v>
      </c>
    </row>
    <row r="130" spans="1:4" s="1" customFormat="1">
      <c r="A130" s="15">
        <v>130</v>
      </c>
      <c r="B130" s="8"/>
      <c r="C130" s="16" t="s">
        <v>121</v>
      </c>
      <c r="D130" s="1" t="s">
        <v>134</v>
      </c>
    </row>
    <row r="131" spans="1:4">
      <c r="A131" s="15">
        <v>131</v>
      </c>
      <c r="B131" s="6"/>
      <c r="C131" s="15" t="s">
        <v>107</v>
      </c>
      <c r="D131" s="7" t="s">
        <v>135</v>
      </c>
    </row>
    <row r="132" spans="1:4">
      <c r="A132" s="15">
        <v>132</v>
      </c>
      <c r="B132" s="6"/>
      <c r="C132" s="15" t="s">
        <v>108</v>
      </c>
      <c r="D132" s="7" t="s">
        <v>135</v>
      </c>
    </row>
    <row r="133" spans="1:4">
      <c r="A133" s="15">
        <v>133</v>
      </c>
      <c r="B133" s="3"/>
      <c r="C133" s="15" t="s">
        <v>109</v>
      </c>
      <c r="D133" s="7" t="s">
        <v>135</v>
      </c>
    </row>
    <row r="134" spans="1:4">
      <c r="A134" s="15">
        <v>134</v>
      </c>
      <c r="B134" s="3"/>
      <c r="C134" s="15" t="s">
        <v>110</v>
      </c>
      <c r="D134" s="7" t="s">
        <v>135</v>
      </c>
    </row>
    <row r="135" spans="1:4">
      <c r="A135" s="15">
        <v>135</v>
      </c>
      <c r="B135" s="3"/>
      <c r="C135" s="15" t="s">
        <v>111</v>
      </c>
      <c r="D135" s="7" t="s">
        <v>135</v>
      </c>
    </row>
    <row r="136" spans="1:4">
      <c r="A136" s="15">
        <v>136</v>
      </c>
      <c r="B136" s="3"/>
      <c r="C136" s="15" t="s">
        <v>112</v>
      </c>
      <c r="D136" s="7" t="s">
        <v>135</v>
      </c>
    </row>
    <row r="137" spans="1:4">
      <c r="A137" s="15">
        <v>137</v>
      </c>
      <c r="B137" s="3"/>
      <c r="C137" s="15" t="s">
        <v>113</v>
      </c>
      <c r="D137" s="7" t="s">
        <v>135</v>
      </c>
    </row>
    <row r="138" spans="1:4">
      <c r="A138" s="15">
        <v>138</v>
      </c>
      <c r="B138" s="3"/>
      <c r="C138" s="15" t="s">
        <v>114</v>
      </c>
      <c r="D138" s="7" t="s">
        <v>135</v>
      </c>
    </row>
    <row r="139" spans="1:4">
      <c r="A139" s="15">
        <v>139</v>
      </c>
      <c r="B139" s="3"/>
      <c r="C139" s="15" t="s">
        <v>115</v>
      </c>
      <c r="D139" s="7" t="s">
        <v>135</v>
      </c>
    </row>
    <row r="140" spans="1:4">
      <c r="A140" s="15">
        <v>140</v>
      </c>
      <c r="B140" s="3"/>
      <c r="C140" s="15" t="s">
        <v>116</v>
      </c>
      <c r="D140" s="7" t="s">
        <v>135</v>
      </c>
    </row>
    <row r="141" spans="1:4">
      <c r="A141" s="15">
        <v>141</v>
      </c>
      <c r="B141" s="3"/>
      <c r="C141" s="15" t="s">
        <v>117</v>
      </c>
      <c r="D141" s="7" t="s">
        <v>135</v>
      </c>
    </row>
    <row r="142" spans="1:4">
      <c r="A142" s="15">
        <v>142</v>
      </c>
      <c r="B142" s="3"/>
      <c r="C142" s="15" t="s">
        <v>118</v>
      </c>
      <c r="D142" s="7" t="s">
        <v>135</v>
      </c>
    </row>
    <row r="143" spans="1:4">
      <c r="A143" s="15">
        <v>143</v>
      </c>
      <c r="B143" s="3"/>
      <c r="C143" s="15" t="s">
        <v>119</v>
      </c>
      <c r="D143" s="7" t="s">
        <v>135</v>
      </c>
    </row>
    <row r="144" spans="1:4">
      <c r="A144" s="15">
        <v>144</v>
      </c>
      <c r="B144" s="3"/>
      <c r="C144" s="15" t="s">
        <v>120</v>
      </c>
      <c r="D144" s="7" t="s">
        <v>135</v>
      </c>
    </row>
    <row r="145" spans="1:4">
      <c r="A145" s="15">
        <v>145</v>
      </c>
      <c r="B145" s="3"/>
      <c r="C145" s="15" t="s">
        <v>122</v>
      </c>
      <c r="D145" s="7" t="s">
        <v>135</v>
      </c>
    </row>
    <row r="146" spans="1:4">
      <c r="A146" s="15">
        <v>146</v>
      </c>
      <c r="B146" s="3"/>
      <c r="C146" s="15" t="s">
        <v>123</v>
      </c>
      <c r="D146" s="7" t="s">
        <v>135</v>
      </c>
    </row>
    <row r="147" spans="1:4">
      <c r="A147" s="15">
        <v>147</v>
      </c>
      <c r="B147" s="3"/>
      <c r="C147" s="15" t="s">
        <v>124</v>
      </c>
      <c r="D147" s="7" t="s">
        <v>135</v>
      </c>
    </row>
    <row r="148" spans="1:4">
      <c r="A148" s="15">
        <v>148</v>
      </c>
      <c r="B148" s="3"/>
      <c r="C148" s="15" t="s">
        <v>125</v>
      </c>
      <c r="D148" s="7" t="s">
        <v>135</v>
      </c>
    </row>
    <row r="149" spans="1:4">
      <c r="A149" s="15">
        <v>149</v>
      </c>
      <c r="B149" s="3"/>
      <c r="C149" s="15" t="s">
        <v>126</v>
      </c>
      <c r="D149" s="7" t="s">
        <v>135</v>
      </c>
    </row>
    <row r="150" spans="1:4">
      <c r="A150" s="15">
        <v>150</v>
      </c>
      <c r="B150" s="3"/>
      <c r="C150" s="15" t="s">
        <v>127</v>
      </c>
      <c r="D150" s="7" t="s">
        <v>135</v>
      </c>
    </row>
    <row r="151" spans="1:4">
      <c r="A151" s="15">
        <v>151</v>
      </c>
      <c r="B151" s="3"/>
      <c r="C151" s="15" t="s">
        <v>128</v>
      </c>
      <c r="D151" s="7" t="s">
        <v>135</v>
      </c>
    </row>
    <row r="152" spans="1:4">
      <c r="A152" s="15">
        <v>152</v>
      </c>
      <c r="B152" s="3"/>
      <c r="C152" s="15" t="s">
        <v>129</v>
      </c>
      <c r="D152" s="7" t="s">
        <v>135</v>
      </c>
    </row>
    <row r="153" spans="1:4">
      <c r="A153" s="15">
        <v>153</v>
      </c>
      <c r="B153" s="3"/>
      <c r="C153" s="15" t="s">
        <v>130</v>
      </c>
      <c r="D153" s="7" t="s">
        <v>135</v>
      </c>
    </row>
    <row r="154" spans="1:4">
      <c r="A154" s="15">
        <v>154</v>
      </c>
      <c r="B154" s="3"/>
      <c r="C154" s="15" t="s">
        <v>131</v>
      </c>
      <c r="D154" s="7" t="s">
        <v>135</v>
      </c>
    </row>
    <row r="155" spans="1:4" s="1" customFormat="1">
      <c r="A155" s="15">
        <v>155</v>
      </c>
      <c r="B155" s="8"/>
      <c r="C155" s="16" t="s">
        <v>121</v>
      </c>
      <c r="D155" s="1" t="s">
        <v>135</v>
      </c>
    </row>
    <row r="156" spans="1:4">
      <c r="A156" s="15">
        <v>156</v>
      </c>
      <c r="B156" s="3"/>
      <c r="C156" s="15" t="s">
        <v>107</v>
      </c>
      <c r="D156" s="9" t="s">
        <v>136</v>
      </c>
    </row>
    <row r="157" spans="1:4">
      <c r="A157" s="15">
        <v>157</v>
      </c>
      <c r="B157" s="3"/>
      <c r="C157" s="15" t="s">
        <v>108</v>
      </c>
      <c r="D157" s="9" t="s">
        <v>136</v>
      </c>
    </row>
    <row r="158" spans="1:4">
      <c r="A158" s="15">
        <v>158</v>
      </c>
      <c r="B158" s="3"/>
      <c r="C158" s="15" t="s">
        <v>109</v>
      </c>
      <c r="D158" s="9" t="s">
        <v>136</v>
      </c>
    </row>
    <row r="159" spans="1:4">
      <c r="A159" s="15">
        <v>159</v>
      </c>
      <c r="B159" s="3"/>
      <c r="C159" s="15" t="s">
        <v>110</v>
      </c>
      <c r="D159" s="9" t="s">
        <v>136</v>
      </c>
    </row>
    <row r="160" spans="1:4">
      <c r="A160" s="15">
        <v>160</v>
      </c>
      <c r="B160" s="3"/>
      <c r="C160" s="15" t="s">
        <v>111</v>
      </c>
      <c r="D160" s="9" t="s">
        <v>136</v>
      </c>
    </row>
    <row r="161" spans="1:4">
      <c r="A161" s="15">
        <v>161</v>
      </c>
      <c r="B161" s="3"/>
      <c r="C161" s="15" t="s">
        <v>112</v>
      </c>
      <c r="D161" s="9" t="s">
        <v>136</v>
      </c>
    </row>
    <row r="162" spans="1:4">
      <c r="A162" s="15">
        <v>162</v>
      </c>
      <c r="B162" s="3"/>
      <c r="C162" s="15" t="s">
        <v>113</v>
      </c>
      <c r="D162" s="9" t="s">
        <v>136</v>
      </c>
    </row>
    <row r="163" spans="1:4">
      <c r="A163" s="15">
        <v>163</v>
      </c>
      <c r="B163" s="3"/>
      <c r="C163" s="15" t="s">
        <v>114</v>
      </c>
      <c r="D163" s="9" t="s">
        <v>136</v>
      </c>
    </row>
    <row r="164" spans="1:4">
      <c r="A164" s="15">
        <v>164</v>
      </c>
      <c r="B164" s="3"/>
      <c r="C164" s="15" t="s">
        <v>115</v>
      </c>
      <c r="D164" s="9" t="s">
        <v>136</v>
      </c>
    </row>
    <row r="165" spans="1:4">
      <c r="A165" s="15">
        <v>165</v>
      </c>
      <c r="B165" s="3"/>
      <c r="C165" s="15" t="s">
        <v>116</v>
      </c>
      <c r="D165" s="9" t="s">
        <v>136</v>
      </c>
    </row>
    <row r="166" spans="1:4">
      <c r="A166" s="15">
        <v>166</v>
      </c>
      <c r="B166" s="3"/>
      <c r="C166" s="15" t="s">
        <v>117</v>
      </c>
      <c r="D166" s="9" t="s">
        <v>136</v>
      </c>
    </row>
    <row r="167" spans="1:4">
      <c r="A167" s="15">
        <v>167</v>
      </c>
      <c r="B167" s="3"/>
      <c r="C167" s="15" t="s">
        <v>118</v>
      </c>
      <c r="D167" s="9" t="s">
        <v>136</v>
      </c>
    </row>
    <row r="168" spans="1:4">
      <c r="A168" s="15">
        <v>168</v>
      </c>
      <c r="B168" s="3"/>
      <c r="C168" s="15" t="s">
        <v>119</v>
      </c>
      <c r="D168" s="9" t="s">
        <v>136</v>
      </c>
    </row>
    <row r="169" spans="1:4">
      <c r="A169" s="15">
        <v>169</v>
      </c>
      <c r="B169" s="3"/>
      <c r="C169" s="15" t="s">
        <v>120</v>
      </c>
      <c r="D169" s="9" t="s">
        <v>136</v>
      </c>
    </row>
    <row r="170" spans="1:4">
      <c r="A170" s="15">
        <v>170</v>
      </c>
      <c r="B170" s="3"/>
      <c r="C170" s="15" t="s">
        <v>122</v>
      </c>
      <c r="D170" s="9" t="s">
        <v>136</v>
      </c>
    </row>
    <row r="171" spans="1:4">
      <c r="A171" s="15">
        <v>171</v>
      </c>
      <c r="B171" s="3"/>
      <c r="C171" s="15" t="s">
        <v>123</v>
      </c>
      <c r="D171" s="9" t="s">
        <v>136</v>
      </c>
    </row>
    <row r="172" spans="1:4">
      <c r="A172" s="15">
        <v>172</v>
      </c>
      <c r="B172" s="3"/>
      <c r="C172" s="15" t="s">
        <v>124</v>
      </c>
      <c r="D172" s="9" t="s">
        <v>136</v>
      </c>
    </row>
    <row r="173" spans="1:4">
      <c r="A173" s="15">
        <v>173</v>
      </c>
      <c r="B173" s="3"/>
      <c r="C173" s="15" t="s">
        <v>125</v>
      </c>
      <c r="D173" s="9" t="s">
        <v>136</v>
      </c>
    </row>
    <row r="174" spans="1:4">
      <c r="A174" s="15">
        <v>174</v>
      </c>
      <c r="B174" s="3"/>
      <c r="C174" s="15" t="s">
        <v>126</v>
      </c>
      <c r="D174" s="9" t="s">
        <v>136</v>
      </c>
    </row>
    <row r="175" spans="1:4">
      <c r="A175" s="15">
        <v>175</v>
      </c>
      <c r="B175" s="3"/>
      <c r="C175" s="15" t="s">
        <v>127</v>
      </c>
      <c r="D175" s="9" t="s">
        <v>136</v>
      </c>
    </row>
    <row r="176" spans="1:4">
      <c r="A176" s="15">
        <v>176</v>
      </c>
      <c r="B176" s="3"/>
      <c r="C176" s="15" t="s">
        <v>128</v>
      </c>
      <c r="D176" s="9" t="s">
        <v>136</v>
      </c>
    </row>
    <row r="177" spans="1:4">
      <c r="A177" s="15">
        <v>177</v>
      </c>
      <c r="B177" s="3"/>
      <c r="C177" s="15" t="s">
        <v>129</v>
      </c>
      <c r="D177" s="9" t="s">
        <v>136</v>
      </c>
    </row>
    <row r="178" spans="1:4">
      <c r="A178" s="15">
        <v>178</v>
      </c>
      <c r="B178" s="3"/>
      <c r="C178" s="15" t="s">
        <v>130</v>
      </c>
      <c r="D178" s="9" t="s">
        <v>136</v>
      </c>
    </row>
    <row r="179" spans="1:4">
      <c r="A179" s="15">
        <v>179</v>
      </c>
      <c r="B179" s="3"/>
      <c r="C179" s="15" t="s">
        <v>131</v>
      </c>
      <c r="D179" s="9" t="s">
        <v>136</v>
      </c>
    </row>
    <row r="180" spans="1:4" s="1" customFormat="1">
      <c r="A180" s="15">
        <v>180</v>
      </c>
      <c r="B180" s="8"/>
      <c r="C180" s="16" t="s">
        <v>121</v>
      </c>
      <c r="D180" s="10" t="s">
        <v>136</v>
      </c>
    </row>
    <row r="181" spans="1:4">
      <c r="A181" s="15">
        <v>181</v>
      </c>
      <c r="B181" s="3"/>
      <c r="C181" s="15" t="s">
        <v>107</v>
      </c>
      <c r="D181" s="9" t="s">
        <v>137</v>
      </c>
    </row>
    <row r="182" spans="1:4">
      <c r="A182" s="15">
        <v>182</v>
      </c>
      <c r="B182" s="3"/>
      <c r="C182" s="15" t="s">
        <v>108</v>
      </c>
      <c r="D182" t="s">
        <v>137</v>
      </c>
    </row>
    <row r="183" spans="1:4">
      <c r="A183" s="15">
        <v>183</v>
      </c>
      <c r="B183" s="3"/>
      <c r="C183" s="15" t="s">
        <v>109</v>
      </c>
      <c r="D183" s="9" t="s">
        <v>137</v>
      </c>
    </row>
    <row r="184" spans="1:4">
      <c r="A184" s="15">
        <v>184</v>
      </c>
      <c r="B184" s="3"/>
      <c r="C184" s="15" t="s">
        <v>110</v>
      </c>
      <c r="D184" t="s">
        <v>137</v>
      </c>
    </row>
    <row r="185" spans="1:4">
      <c r="A185" s="15">
        <v>185</v>
      </c>
      <c r="B185" s="3"/>
      <c r="C185" s="15" t="s">
        <v>111</v>
      </c>
      <c r="D185" s="9" t="s">
        <v>137</v>
      </c>
    </row>
    <row r="186" spans="1:4">
      <c r="A186" s="15">
        <v>186</v>
      </c>
      <c r="B186" s="3"/>
      <c r="C186" s="15" t="s">
        <v>112</v>
      </c>
      <c r="D186" t="s">
        <v>137</v>
      </c>
    </row>
    <row r="187" spans="1:4">
      <c r="A187" s="15">
        <v>187</v>
      </c>
      <c r="B187" s="3"/>
      <c r="C187" s="15" t="s">
        <v>113</v>
      </c>
      <c r="D187" s="9" t="s">
        <v>137</v>
      </c>
    </row>
    <row r="188" spans="1:4">
      <c r="A188" s="15">
        <v>188</v>
      </c>
      <c r="B188" s="3"/>
      <c r="C188" s="15" t="s">
        <v>114</v>
      </c>
      <c r="D188" t="s">
        <v>137</v>
      </c>
    </row>
    <row r="189" spans="1:4">
      <c r="A189" s="15">
        <v>189</v>
      </c>
      <c r="B189" s="3"/>
      <c r="C189" s="15" t="s">
        <v>115</v>
      </c>
      <c r="D189" s="9" t="s">
        <v>137</v>
      </c>
    </row>
    <row r="190" spans="1:4">
      <c r="A190" s="15">
        <v>190</v>
      </c>
      <c r="B190" s="3"/>
      <c r="C190" s="15" t="s">
        <v>116</v>
      </c>
      <c r="D190" t="s">
        <v>137</v>
      </c>
    </row>
    <row r="191" spans="1:4">
      <c r="A191" s="15">
        <v>191</v>
      </c>
      <c r="B191" s="3"/>
      <c r="C191" s="15" t="s">
        <v>117</v>
      </c>
      <c r="D191" s="9" t="s">
        <v>137</v>
      </c>
    </row>
    <row r="192" spans="1:4">
      <c r="A192" s="15">
        <v>192</v>
      </c>
      <c r="B192" s="3"/>
      <c r="C192" s="15" t="s">
        <v>118</v>
      </c>
      <c r="D192" t="s">
        <v>137</v>
      </c>
    </row>
    <row r="193" spans="1:4">
      <c r="A193" s="15">
        <v>193</v>
      </c>
      <c r="B193" s="3"/>
      <c r="C193" s="15" t="s">
        <v>119</v>
      </c>
      <c r="D193" s="9" t="s">
        <v>137</v>
      </c>
    </row>
    <row r="194" spans="1:4">
      <c r="A194" s="15">
        <v>194</v>
      </c>
      <c r="B194" s="3"/>
      <c r="C194" s="15" t="s">
        <v>120</v>
      </c>
      <c r="D194" t="s">
        <v>137</v>
      </c>
    </row>
    <row r="195" spans="1:4">
      <c r="A195" s="15">
        <v>195</v>
      </c>
      <c r="B195" s="3"/>
      <c r="C195" s="15" t="s">
        <v>122</v>
      </c>
      <c r="D195" s="9" t="s">
        <v>137</v>
      </c>
    </row>
    <row r="196" spans="1:4">
      <c r="A196" s="15">
        <v>196</v>
      </c>
      <c r="B196" s="3"/>
      <c r="C196" s="15" t="s">
        <v>123</v>
      </c>
      <c r="D196" t="s">
        <v>137</v>
      </c>
    </row>
    <row r="197" spans="1:4">
      <c r="A197" s="15">
        <v>197</v>
      </c>
      <c r="B197" s="3"/>
      <c r="C197" s="15" t="s">
        <v>124</v>
      </c>
      <c r="D197" s="9" t="s">
        <v>137</v>
      </c>
    </row>
    <row r="198" spans="1:4">
      <c r="A198" s="15">
        <v>198</v>
      </c>
      <c r="B198" s="3"/>
      <c r="C198" s="15" t="s">
        <v>125</v>
      </c>
      <c r="D198" t="s">
        <v>137</v>
      </c>
    </row>
    <row r="199" spans="1:4">
      <c r="A199" s="15">
        <v>199</v>
      </c>
      <c r="B199" s="3"/>
      <c r="C199" s="15" t="s">
        <v>126</v>
      </c>
      <c r="D199" s="9" t="s">
        <v>137</v>
      </c>
    </row>
    <row r="200" spans="1:4">
      <c r="A200" s="15">
        <v>200</v>
      </c>
      <c r="B200" s="3"/>
      <c r="C200" s="15" t="s">
        <v>127</v>
      </c>
      <c r="D200" t="s">
        <v>137</v>
      </c>
    </row>
    <row r="201" spans="1:4">
      <c r="A201" s="15">
        <v>201</v>
      </c>
      <c r="B201" s="3"/>
      <c r="C201" s="15" t="s">
        <v>128</v>
      </c>
      <c r="D201" s="9" t="s">
        <v>137</v>
      </c>
    </row>
    <row r="202" spans="1:4">
      <c r="A202" s="15">
        <v>202</v>
      </c>
      <c r="B202" s="3"/>
      <c r="C202" s="15" t="s">
        <v>129</v>
      </c>
      <c r="D202" t="s">
        <v>137</v>
      </c>
    </row>
    <row r="203" spans="1:4">
      <c r="A203" s="15">
        <v>203</v>
      </c>
      <c r="B203" s="3"/>
      <c r="C203" s="15" t="s">
        <v>130</v>
      </c>
      <c r="D203" s="9" t="s">
        <v>137</v>
      </c>
    </row>
    <row r="204" spans="1:4">
      <c r="A204" s="15">
        <v>204</v>
      </c>
      <c r="B204" s="3"/>
      <c r="C204" s="15" t="s">
        <v>131</v>
      </c>
      <c r="D204" t="s">
        <v>137</v>
      </c>
    </row>
    <row r="205" spans="1:4" s="1" customFormat="1">
      <c r="A205" s="15">
        <v>205</v>
      </c>
      <c r="B205" s="8"/>
      <c r="C205" s="16" t="s">
        <v>121</v>
      </c>
      <c r="D205" s="10" t="s">
        <v>137</v>
      </c>
    </row>
    <row r="206" spans="1:4">
      <c r="A206" s="15">
        <v>206</v>
      </c>
      <c r="B206" s="3"/>
      <c r="C206" s="15" t="s">
        <v>107</v>
      </c>
      <c r="D206" s="9" t="s">
        <v>138</v>
      </c>
    </row>
    <row r="207" spans="1:4">
      <c r="A207" s="15">
        <v>207</v>
      </c>
      <c r="B207" s="3"/>
      <c r="C207" s="15" t="s">
        <v>108</v>
      </c>
      <c r="D207" s="9" t="s">
        <v>138</v>
      </c>
    </row>
    <row r="208" spans="1:4">
      <c r="A208" s="15">
        <v>208</v>
      </c>
      <c r="B208" s="3"/>
      <c r="C208" s="15" t="s">
        <v>109</v>
      </c>
      <c r="D208" s="9" t="s">
        <v>138</v>
      </c>
    </row>
    <row r="209" spans="1:4">
      <c r="A209" s="15">
        <v>209</v>
      </c>
      <c r="B209" s="3"/>
      <c r="C209" s="15" t="s">
        <v>110</v>
      </c>
      <c r="D209" s="9" t="s">
        <v>138</v>
      </c>
    </row>
    <row r="210" spans="1:4">
      <c r="A210" s="15">
        <v>210</v>
      </c>
      <c r="B210" s="3"/>
      <c r="C210" s="15" t="s">
        <v>111</v>
      </c>
      <c r="D210" s="9" t="s">
        <v>138</v>
      </c>
    </row>
    <row r="211" spans="1:4">
      <c r="A211" s="15">
        <v>211</v>
      </c>
      <c r="B211" s="3"/>
      <c r="C211" s="15" t="s">
        <v>112</v>
      </c>
      <c r="D211" s="9" t="s">
        <v>138</v>
      </c>
    </row>
    <row r="212" spans="1:4">
      <c r="A212" s="15">
        <v>212</v>
      </c>
      <c r="B212" s="3"/>
      <c r="C212" s="15" t="s">
        <v>113</v>
      </c>
      <c r="D212" s="9" t="s">
        <v>138</v>
      </c>
    </row>
    <row r="213" spans="1:4">
      <c r="A213" s="15">
        <v>213</v>
      </c>
      <c r="B213" s="3"/>
      <c r="C213" s="15" t="s">
        <v>114</v>
      </c>
      <c r="D213" s="9" t="s">
        <v>138</v>
      </c>
    </row>
    <row r="214" spans="1:4">
      <c r="A214" s="15">
        <v>214</v>
      </c>
      <c r="B214" s="3"/>
      <c r="C214" s="15" t="s">
        <v>115</v>
      </c>
      <c r="D214" s="9" t="s">
        <v>138</v>
      </c>
    </row>
    <row r="215" spans="1:4">
      <c r="A215" s="15">
        <v>215</v>
      </c>
      <c r="B215" s="3"/>
      <c r="C215" s="15" t="s">
        <v>116</v>
      </c>
      <c r="D215" s="9" t="s">
        <v>138</v>
      </c>
    </row>
    <row r="216" spans="1:4">
      <c r="A216" s="15">
        <v>216</v>
      </c>
      <c r="B216" s="3"/>
      <c r="C216" s="15" t="s">
        <v>117</v>
      </c>
      <c r="D216" s="9" t="s">
        <v>138</v>
      </c>
    </row>
    <row r="217" spans="1:4">
      <c r="A217" s="15">
        <v>217</v>
      </c>
      <c r="B217" s="3"/>
      <c r="C217" s="15" t="s">
        <v>118</v>
      </c>
      <c r="D217" s="9" t="s">
        <v>138</v>
      </c>
    </row>
    <row r="218" spans="1:4">
      <c r="A218" s="15">
        <v>218</v>
      </c>
      <c r="B218" s="3"/>
      <c r="C218" s="15" t="s">
        <v>119</v>
      </c>
      <c r="D218" s="9" t="s">
        <v>138</v>
      </c>
    </row>
    <row r="219" spans="1:4">
      <c r="A219" s="15">
        <v>219</v>
      </c>
      <c r="B219" s="3"/>
      <c r="C219" s="15" t="s">
        <v>120</v>
      </c>
      <c r="D219" s="9" t="s">
        <v>138</v>
      </c>
    </row>
    <row r="220" spans="1:4">
      <c r="A220" s="15">
        <v>220</v>
      </c>
      <c r="B220" s="3"/>
      <c r="C220" s="15" t="s">
        <v>122</v>
      </c>
      <c r="D220" s="9" t="s">
        <v>138</v>
      </c>
    </row>
    <row r="221" spans="1:4">
      <c r="A221" s="15">
        <v>221</v>
      </c>
      <c r="B221" s="3"/>
      <c r="C221" s="15" t="s">
        <v>123</v>
      </c>
      <c r="D221" s="9" t="s">
        <v>138</v>
      </c>
    </row>
    <row r="222" spans="1:4">
      <c r="A222" s="15">
        <v>222</v>
      </c>
      <c r="B222" s="3"/>
      <c r="C222" s="15" t="s">
        <v>124</v>
      </c>
      <c r="D222" s="9" t="s">
        <v>138</v>
      </c>
    </row>
    <row r="223" spans="1:4">
      <c r="A223" s="15">
        <v>223</v>
      </c>
      <c r="B223" s="3"/>
      <c r="C223" s="15" t="s">
        <v>125</v>
      </c>
      <c r="D223" s="9" t="s">
        <v>138</v>
      </c>
    </row>
    <row r="224" spans="1:4">
      <c r="A224" s="15">
        <v>224</v>
      </c>
      <c r="B224" s="3"/>
      <c r="C224" s="15" t="s">
        <v>126</v>
      </c>
      <c r="D224" s="9" t="s">
        <v>138</v>
      </c>
    </row>
    <row r="225" spans="1:4">
      <c r="A225" s="15">
        <v>225</v>
      </c>
      <c r="B225" s="3"/>
      <c r="C225" s="15" t="s">
        <v>127</v>
      </c>
      <c r="D225" s="9" t="s">
        <v>138</v>
      </c>
    </row>
    <row r="226" spans="1:4">
      <c r="A226" s="15">
        <v>226</v>
      </c>
      <c r="B226" s="3"/>
      <c r="C226" s="15" t="s">
        <v>128</v>
      </c>
      <c r="D226" s="9" t="s">
        <v>138</v>
      </c>
    </row>
    <row r="227" spans="1:4">
      <c r="A227" s="15">
        <v>227</v>
      </c>
      <c r="B227" s="3"/>
      <c r="C227" s="15" t="s">
        <v>129</v>
      </c>
      <c r="D227" s="9" t="s">
        <v>138</v>
      </c>
    </row>
    <row r="228" spans="1:4">
      <c r="A228" s="15">
        <v>228</v>
      </c>
      <c r="B228" s="3"/>
      <c r="C228" s="15" t="s">
        <v>130</v>
      </c>
      <c r="D228" s="9" t="s">
        <v>138</v>
      </c>
    </row>
    <row r="229" spans="1:4">
      <c r="A229" s="15">
        <v>229</v>
      </c>
      <c r="B229" s="3"/>
      <c r="C229" s="15" t="s">
        <v>131</v>
      </c>
      <c r="D229" s="9" t="s">
        <v>138</v>
      </c>
    </row>
    <row r="230" spans="1:4" s="1" customFormat="1">
      <c r="A230" s="15">
        <v>230</v>
      </c>
      <c r="B230" s="8"/>
      <c r="C230" s="16" t="s">
        <v>121</v>
      </c>
      <c r="D230" s="10" t="s">
        <v>138</v>
      </c>
    </row>
    <row r="231" spans="1:4">
      <c r="A231" s="15">
        <v>231</v>
      </c>
      <c r="B231" s="3"/>
      <c r="C231" s="15" t="s">
        <v>107</v>
      </c>
      <c r="D231" s="9" t="s">
        <v>139</v>
      </c>
    </row>
    <row r="232" spans="1:4">
      <c r="A232" s="15">
        <v>232</v>
      </c>
      <c r="B232" s="3"/>
      <c r="C232" s="15" t="s">
        <v>108</v>
      </c>
      <c r="D232" s="9" t="s">
        <v>139</v>
      </c>
    </row>
    <row r="233" spans="1:4">
      <c r="A233" s="15">
        <v>233</v>
      </c>
      <c r="B233" s="3"/>
      <c r="C233" s="15" t="s">
        <v>109</v>
      </c>
      <c r="D233" s="9" t="s">
        <v>139</v>
      </c>
    </row>
    <row r="234" spans="1:4">
      <c r="A234" s="15">
        <v>234</v>
      </c>
      <c r="B234" s="3"/>
      <c r="C234" s="15" t="s">
        <v>110</v>
      </c>
      <c r="D234" s="9" t="s">
        <v>139</v>
      </c>
    </row>
    <row r="235" spans="1:4">
      <c r="A235" s="15">
        <v>235</v>
      </c>
      <c r="B235" s="3"/>
      <c r="C235" s="15" t="s">
        <v>111</v>
      </c>
      <c r="D235" s="9" t="s">
        <v>139</v>
      </c>
    </row>
    <row r="236" spans="1:4">
      <c r="A236" s="15">
        <v>236</v>
      </c>
      <c r="B236" s="3"/>
      <c r="C236" s="15" t="s">
        <v>112</v>
      </c>
      <c r="D236" s="9" t="s">
        <v>139</v>
      </c>
    </row>
    <row r="237" spans="1:4">
      <c r="A237" s="15">
        <v>237</v>
      </c>
      <c r="B237" s="3"/>
      <c r="C237" s="15" t="s">
        <v>113</v>
      </c>
      <c r="D237" s="9" t="s">
        <v>139</v>
      </c>
    </row>
    <row r="238" spans="1:4">
      <c r="A238" s="15">
        <v>238</v>
      </c>
      <c r="B238" s="3"/>
      <c r="C238" s="15" t="s">
        <v>114</v>
      </c>
      <c r="D238" s="9" t="s">
        <v>139</v>
      </c>
    </row>
    <row r="239" spans="1:4">
      <c r="A239" s="15">
        <v>239</v>
      </c>
      <c r="B239" s="3"/>
      <c r="C239" s="15" t="s">
        <v>115</v>
      </c>
      <c r="D239" s="9" t="s">
        <v>139</v>
      </c>
    </row>
    <row r="240" spans="1:4">
      <c r="A240" s="15">
        <v>240</v>
      </c>
      <c r="B240" s="3"/>
      <c r="C240" s="15" t="s">
        <v>116</v>
      </c>
      <c r="D240" s="9" t="s">
        <v>139</v>
      </c>
    </row>
    <row r="241" spans="1:4">
      <c r="A241" s="15">
        <v>241</v>
      </c>
      <c r="B241" s="3"/>
      <c r="C241" s="15" t="s">
        <v>117</v>
      </c>
      <c r="D241" s="9" t="s">
        <v>139</v>
      </c>
    </row>
    <row r="242" spans="1:4">
      <c r="A242" s="15">
        <v>242</v>
      </c>
      <c r="B242" s="3"/>
      <c r="C242" s="15" t="s">
        <v>118</v>
      </c>
      <c r="D242" s="9" t="s">
        <v>139</v>
      </c>
    </row>
    <row r="243" spans="1:4">
      <c r="A243" s="15">
        <v>243</v>
      </c>
      <c r="B243" s="3"/>
      <c r="C243" s="15" t="s">
        <v>119</v>
      </c>
      <c r="D243" s="9" t="s">
        <v>139</v>
      </c>
    </row>
    <row r="244" spans="1:4">
      <c r="A244" s="15">
        <v>244</v>
      </c>
      <c r="B244" s="3"/>
      <c r="C244" s="15" t="s">
        <v>120</v>
      </c>
      <c r="D244" s="9" t="s">
        <v>139</v>
      </c>
    </row>
    <row r="245" spans="1:4">
      <c r="A245" s="15">
        <v>245</v>
      </c>
      <c r="B245" s="3"/>
      <c r="C245" s="15" t="s">
        <v>122</v>
      </c>
      <c r="D245" s="9" t="s">
        <v>139</v>
      </c>
    </row>
    <row r="246" spans="1:4">
      <c r="A246" s="15">
        <v>246</v>
      </c>
      <c r="B246" s="3"/>
      <c r="C246" s="15" t="s">
        <v>123</v>
      </c>
      <c r="D246" s="9" t="s">
        <v>139</v>
      </c>
    </row>
    <row r="247" spans="1:4">
      <c r="A247" s="15">
        <v>247</v>
      </c>
      <c r="B247" s="3"/>
      <c r="C247" s="15" t="s">
        <v>124</v>
      </c>
      <c r="D247" s="9" t="s">
        <v>139</v>
      </c>
    </row>
    <row r="248" spans="1:4">
      <c r="A248" s="15">
        <v>248</v>
      </c>
      <c r="B248" s="3"/>
      <c r="C248" s="15" t="s">
        <v>125</v>
      </c>
      <c r="D248" s="9" t="s">
        <v>139</v>
      </c>
    </row>
    <row r="249" spans="1:4">
      <c r="A249" s="15">
        <v>249</v>
      </c>
      <c r="B249" s="3"/>
      <c r="C249" s="15" t="s">
        <v>126</v>
      </c>
      <c r="D249" s="9" t="s">
        <v>139</v>
      </c>
    </row>
    <row r="250" spans="1:4">
      <c r="A250" s="15">
        <v>250</v>
      </c>
      <c r="B250" s="3"/>
      <c r="C250" s="15" t="s">
        <v>127</v>
      </c>
      <c r="D250" s="9" t="s">
        <v>139</v>
      </c>
    </row>
    <row r="251" spans="1:4">
      <c r="A251" s="15">
        <v>251</v>
      </c>
      <c r="B251" s="3"/>
      <c r="C251" s="15" t="s">
        <v>128</v>
      </c>
      <c r="D251" s="9" t="s">
        <v>139</v>
      </c>
    </row>
    <row r="252" spans="1:4">
      <c r="A252" s="15">
        <v>252</v>
      </c>
      <c r="B252" s="3"/>
      <c r="C252" s="15" t="s">
        <v>129</v>
      </c>
      <c r="D252" s="9" t="s">
        <v>139</v>
      </c>
    </row>
    <row r="253" spans="1:4">
      <c r="A253" s="15">
        <v>253</v>
      </c>
      <c r="B253" s="3"/>
      <c r="C253" s="15" t="s">
        <v>130</v>
      </c>
      <c r="D253" s="9" t="s">
        <v>139</v>
      </c>
    </row>
    <row r="254" spans="1:4">
      <c r="A254" s="15">
        <v>254</v>
      </c>
      <c r="B254" s="3"/>
      <c r="C254" s="15" t="s">
        <v>131</v>
      </c>
      <c r="D254" s="9" t="s">
        <v>139</v>
      </c>
    </row>
    <row r="255" spans="1:4" s="1" customFormat="1">
      <c r="A255" s="15">
        <v>255</v>
      </c>
      <c r="B255" s="8"/>
      <c r="C255" s="16" t="s">
        <v>121</v>
      </c>
      <c r="D255" s="10" t="s">
        <v>139</v>
      </c>
    </row>
    <row r="256" spans="1:4">
      <c r="A256" s="15">
        <v>256</v>
      </c>
      <c r="B256" s="3"/>
      <c r="C256" s="15" t="s">
        <v>107</v>
      </c>
      <c r="D256" s="9" t="s">
        <v>140</v>
      </c>
    </row>
    <row r="257" spans="1:4">
      <c r="A257" s="15">
        <v>257</v>
      </c>
      <c r="B257" s="3"/>
      <c r="C257" s="15" t="s">
        <v>108</v>
      </c>
      <c r="D257" s="9" t="s">
        <v>140</v>
      </c>
    </row>
    <row r="258" spans="1:4">
      <c r="A258" s="15">
        <v>258</v>
      </c>
      <c r="B258" s="3"/>
      <c r="C258" s="15" t="s">
        <v>109</v>
      </c>
      <c r="D258" s="9" t="s">
        <v>140</v>
      </c>
    </row>
    <row r="259" spans="1:4">
      <c r="A259" s="15">
        <v>259</v>
      </c>
      <c r="B259" s="3"/>
      <c r="C259" s="15" t="s">
        <v>110</v>
      </c>
      <c r="D259" s="9" t="s">
        <v>140</v>
      </c>
    </row>
    <row r="260" spans="1:4">
      <c r="A260" s="15">
        <v>260</v>
      </c>
      <c r="B260" s="3"/>
      <c r="C260" s="15" t="s">
        <v>111</v>
      </c>
      <c r="D260" s="9" t="s">
        <v>140</v>
      </c>
    </row>
    <row r="261" spans="1:4">
      <c r="A261" s="15">
        <v>261</v>
      </c>
      <c r="B261" s="3"/>
      <c r="C261" s="15" t="s">
        <v>112</v>
      </c>
      <c r="D261" s="9" t="s">
        <v>140</v>
      </c>
    </row>
    <row r="262" spans="1:4">
      <c r="A262" s="15">
        <v>262</v>
      </c>
      <c r="B262" s="3"/>
      <c r="C262" s="15" t="s">
        <v>113</v>
      </c>
      <c r="D262" s="9" t="s">
        <v>140</v>
      </c>
    </row>
    <row r="263" spans="1:4">
      <c r="A263" s="15">
        <v>263</v>
      </c>
      <c r="B263" s="3"/>
      <c r="C263" s="15" t="s">
        <v>114</v>
      </c>
      <c r="D263" s="9" t="s">
        <v>140</v>
      </c>
    </row>
    <row r="264" spans="1:4">
      <c r="A264" s="15">
        <v>264</v>
      </c>
      <c r="B264" s="3"/>
      <c r="C264" s="15" t="s">
        <v>115</v>
      </c>
      <c r="D264" s="9" t="s">
        <v>140</v>
      </c>
    </row>
    <row r="265" spans="1:4">
      <c r="A265" s="15">
        <v>265</v>
      </c>
      <c r="B265" s="3"/>
      <c r="C265" s="15" t="s">
        <v>116</v>
      </c>
      <c r="D265" s="9" t="s">
        <v>140</v>
      </c>
    </row>
    <row r="266" spans="1:4">
      <c r="A266" s="15">
        <v>266</v>
      </c>
      <c r="B266" s="3"/>
      <c r="C266" s="15" t="s">
        <v>117</v>
      </c>
      <c r="D266" s="9" t="s">
        <v>140</v>
      </c>
    </row>
    <row r="267" spans="1:4">
      <c r="A267" s="15">
        <v>267</v>
      </c>
      <c r="B267" s="3"/>
      <c r="C267" s="15" t="s">
        <v>118</v>
      </c>
      <c r="D267" s="9" t="s">
        <v>140</v>
      </c>
    </row>
    <row r="268" spans="1:4">
      <c r="A268" s="15">
        <v>268</v>
      </c>
      <c r="B268" s="3"/>
      <c r="C268" s="15" t="s">
        <v>119</v>
      </c>
      <c r="D268" s="9" t="s">
        <v>140</v>
      </c>
    </row>
    <row r="269" spans="1:4">
      <c r="A269" s="15">
        <v>269</v>
      </c>
      <c r="B269" s="3"/>
      <c r="C269" s="15" t="s">
        <v>120</v>
      </c>
      <c r="D269" s="9" t="s">
        <v>140</v>
      </c>
    </row>
    <row r="270" spans="1:4">
      <c r="A270" s="15">
        <v>270</v>
      </c>
      <c r="B270" s="3"/>
      <c r="C270" s="15" t="s">
        <v>122</v>
      </c>
      <c r="D270" s="9" t="s">
        <v>140</v>
      </c>
    </row>
    <row r="271" spans="1:4">
      <c r="A271" s="15">
        <v>271</v>
      </c>
      <c r="B271" s="3"/>
      <c r="C271" s="15" t="s">
        <v>123</v>
      </c>
      <c r="D271" s="9" t="s">
        <v>140</v>
      </c>
    </row>
    <row r="272" spans="1:4">
      <c r="A272" s="15">
        <v>272</v>
      </c>
      <c r="B272" s="3"/>
      <c r="C272" s="15" t="s">
        <v>124</v>
      </c>
      <c r="D272" s="9" t="s">
        <v>140</v>
      </c>
    </row>
    <row r="273" spans="1:4">
      <c r="A273" s="15">
        <v>273</v>
      </c>
      <c r="B273" s="3"/>
      <c r="C273" s="15" t="s">
        <v>125</v>
      </c>
      <c r="D273" s="9" t="s">
        <v>140</v>
      </c>
    </row>
    <row r="274" spans="1:4">
      <c r="A274" s="15">
        <v>274</v>
      </c>
      <c r="B274" s="3"/>
      <c r="C274" s="15" t="s">
        <v>126</v>
      </c>
      <c r="D274" s="9" t="s">
        <v>140</v>
      </c>
    </row>
    <row r="275" spans="1:4">
      <c r="A275" s="15">
        <v>275</v>
      </c>
      <c r="B275" s="3"/>
      <c r="C275" s="15" t="s">
        <v>127</v>
      </c>
      <c r="D275" s="9" t="s">
        <v>140</v>
      </c>
    </row>
    <row r="276" spans="1:4">
      <c r="A276" s="15">
        <v>276</v>
      </c>
      <c r="B276" s="3"/>
      <c r="C276" s="15" t="s">
        <v>128</v>
      </c>
      <c r="D276" s="9" t="s">
        <v>140</v>
      </c>
    </row>
    <row r="277" spans="1:4">
      <c r="A277" s="15">
        <v>277</v>
      </c>
      <c r="B277" s="3"/>
      <c r="C277" s="15" t="s">
        <v>129</v>
      </c>
      <c r="D277" s="9" t="s">
        <v>140</v>
      </c>
    </row>
    <row r="278" spans="1:4">
      <c r="A278" s="15">
        <v>278</v>
      </c>
      <c r="B278" s="3"/>
      <c r="C278" s="15" t="s">
        <v>130</v>
      </c>
      <c r="D278" s="9" t="s">
        <v>140</v>
      </c>
    </row>
    <row r="279" spans="1:4">
      <c r="A279" s="15">
        <v>279</v>
      </c>
      <c r="B279" s="3"/>
      <c r="C279" s="15" t="s">
        <v>131</v>
      </c>
      <c r="D279" s="9" t="s">
        <v>140</v>
      </c>
    </row>
    <row r="280" spans="1:4" s="1" customFormat="1">
      <c r="A280" s="15">
        <v>280</v>
      </c>
      <c r="B280" s="8"/>
      <c r="C280" s="16" t="s">
        <v>121</v>
      </c>
      <c r="D280" s="10" t="s">
        <v>140</v>
      </c>
    </row>
    <row r="281" spans="1:4">
      <c r="A281" s="15">
        <v>281</v>
      </c>
      <c r="B281" s="3"/>
      <c r="C281" s="15" t="s">
        <v>107</v>
      </c>
      <c r="D281" s="9" t="s">
        <v>141</v>
      </c>
    </row>
    <row r="282" spans="1:4">
      <c r="A282" s="15">
        <v>282</v>
      </c>
      <c r="B282" s="3"/>
      <c r="C282" s="15" t="s">
        <v>108</v>
      </c>
      <c r="D282" t="s">
        <v>141</v>
      </c>
    </row>
    <row r="283" spans="1:4">
      <c r="A283" s="15">
        <v>283</v>
      </c>
      <c r="B283" s="3"/>
      <c r="C283" s="15" t="s">
        <v>109</v>
      </c>
      <c r="D283" s="9" t="s">
        <v>141</v>
      </c>
    </row>
    <row r="284" spans="1:4">
      <c r="A284" s="15">
        <v>284</v>
      </c>
      <c r="B284" s="3"/>
      <c r="C284" s="15" t="s">
        <v>110</v>
      </c>
      <c r="D284" t="s">
        <v>141</v>
      </c>
    </row>
    <row r="285" spans="1:4">
      <c r="A285" s="15">
        <v>285</v>
      </c>
      <c r="B285" s="3"/>
      <c r="C285" s="15" t="s">
        <v>111</v>
      </c>
      <c r="D285" s="9" t="s">
        <v>141</v>
      </c>
    </row>
    <row r="286" spans="1:4">
      <c r="A286" s="15">
        <v>286</v>
      </c>
      <c r="B286" s="3"/>
      <c r="C286" s="15" t="s">
        <v>112</v>
      </c>
      <c r="D286" t="s">
        <v>141</v>
      </c>
    </row>
    <row r="287" spans="1:4">
      <c r="A287" s="15">
        <v>287</v>
      </c>
      <c r="B287" s="3"/>
      <c r="C287" s="15" t="s">
        <v>113</v>
      </c>
      <c r="D287" s="9" t="s">
        <v>141</v>
      </c>
    </row>
    <row r="288" spans="1:4">
      <c r="A288" s="15">
        <v>288</v>
      </c>
      <c r="B288" s="3"/>
      <c r="C288" s="15" t="s">
        <v>114</v>
      </c>
      <c r="D288" t="s">
        <v>141</v>
      </c>
    </row>
    <row r="289" spans="1:4">
      <c r="A289" s="15">
        <v>289</v>
      </c>
      <c r="B289" s="3"/>
      <c r="C289" s="15" t="s">
        <v>115</v>
      </c>
      <c r="D289" s="9" t="s">
        <v>141</v>
      </c>
    </row>
    <row r="290" spans="1:4">
      <c r="A290" s="15">
        <v>290</v>
      </c>
      <c r="B290" s="3"/>
      <c r="C290" s="15" t="s">
        <v>116</v>
      </c>
      <c r="D290" t="s">
        <v>141</v>
      </c>
    </row>
    <row r="291" spans="1:4">
      <c r="A291" s="15">
        <v>291</v>
      </c>
      <c r="B291" s="3"/>
      <c r="C291" s="15" t="s">
        <v>117</v>
      </c>
      <c r="D291" s="9" t="s">
        <v>141</v>
      </c>
    </row>
    <row r="292" spans="1:4">
      <c r="A292" s="15">
        <v>292</v>
      </c>
      <c r="B292" s="3"/>
      <c r="C292" s="15" t="s">
        <v>118</v>
      </c>
      <c r="D292" t="s">
        <v>141</v>
      </c>
    </row>
    <row r="293" spans="1:4">
      <c r="A293" s="15">
        <v>293</v>
      </c>
      <c r="B293" s="3"/>
      <c r="C293" s="15" t="s">
        <v>119</v>
      </c>
      <c r="D293" s="9" t="s">
        <v>141</v>
      </c>
    </row>
    <row r="294" spans="1:4">
      <c r="A294" s="15">
        <v>294</v>
      </c>
      <c r="B294" s="3"/>
      <c r="C294" s="15" t="s">
        <v>120</v>
      </c>
      <c r="D294" t="s">
        <v>141</v>
      </c>
    </row>
    <row r="295" spans="1:4">
      <c r="A295" s="15">
        <v>295</v>
      </c>
      <c r="B295" s="3"/>
      <c r="C295" s="15" t="s">
        <v>122</v>
      </c>
      <c r="D295" s="9" t="s">
        <v>141</v>
      </c>
    </row>
    <row r="296" spans="1:4">
      <c r="A296" s="15">
        <v>296</v>
      </c>
      <c r="B296" s="3"/>
      <c r="C296" s="15" t="s">
        <v>123</v>
      </c>
      <c r="D296" t="s">
        <v>141</v>
      </c>
    </row>
    <row r="297" spans="1:4">
      <c r="A297" s="15">
        <v>297</v>
      </c>
      <c r="B297" s="3"/>
      <c r="C297" s="15" t="s">
        <v>124</v>
      </c>
      <c r="D297" s="9" t="s">
        <v>141</v>
      </c>
    </row>
    <row r="298" spans="1:4">
      <c r="A298" s="15">
        <v>298</v>
      </c>
      <c r="B298" s="3"/>
      <c r="C298" s="15" t="s">
        <v>125</v>
      </c>
      <c r="D298" t="s">
        <v>141</v>
      </c>
    </row>
    <row r="299" spans="1:4">
      <c r="A299" s="15">
        <v>299</v>
      </c>
      <c r="B299" s="3"/>
      <c r="C299" s="15" t="s">
        <v>126</v>
      </c>
      <c r="D299" s="9" t="s">
        <v>141</v>
      </c>
    </row>
    <row r="300" spans="1:4">
      <c r="A300" s="15">
        <v>300</v>
      </c>
      <c r="B300" s="3"/>
      <c r="C300" s="15" t="s">
        <v>127</v>
      </c>
      <c r="D300" t="s">
        <v>141</v>
      </c>
    </row>
    <row r="301" spans="1:4">
      <c r="A301" s="15">
        <v>301</v>
      </c>
      <c r="B301" s="3"/>
      <c r="C301" s="15" t="s">
        <v>128</v>
      </c>
      <c r="D301" s="9" t="s">
        <v>141</v>
      </c>
    </row>
    <row r="302" spans="1:4">
      <c r="A302" s="15">
        <v>302</v>
      </c>
      <c r="B302" s="3"/>
      <c r="C302" s="15" t="s">
        <v>129</v>
      </c>
      <c r="D302" t="s">
        <v>141</v>
      </c>
    </row>
    <row r="303" spans="1:4">
      <c r="A303" s="15">
        <v>303</v>
      </c>
      <c r="B303" s="3"/>
      <c r="C303" s="15" t="s">
        <v>130</v>
      </c>
      <c r="D303" s="9" t="s">
        <v>141</v>
      </c>
    </row>
    <row r="304" spans="1:4">
      <c r="A304" s="15">
        <v>304</v>
      </c>
      <c r="B304" s="3"/>
      <c r="C304" s="15" t="s">
        <v>131</v>
      </c>
      <c r="D304" t="s">
        <v>141</v>
      </c>
    </row>
    <row r="305" spans="1:4" s="1" customFormat="1">
      <c r="A305" s="15">
        <v>305</v>
      </c>
      <c r="B305" s="8"/>
      <c r="C305" s="16" t="s">
        <v>121</v>
      </c>
      <c r="D305" s="10" t="s">
        <v>141</v>
      </c>
    </row>
    <row r="306" spans="1:4">
      <c r="A306" s="15">
        <v>306</v>
      </c>
      <c r="B306" s="3"/>
      <c r="C306" s="15" t="s">
        <v>107</v>
      </c>
      <c r="D306" s="9" t="s">
        <v>142</v>
      </c>
    </row>
    <row r="307" spans="1:4">
      <c r="A307" s="15">
        <v>307</v>
      </c>
      <c r="B307" s="3"/>
      <c r="C307" s="15" t="s">
        <v>108</v>
      </c>
      <c r="D307" s="9" t="s">
        <v>142</v>
      </c>
    </row>
    <row r="308" spans="1:4">
      <c r="A308" s="15">
        <v>308</v>
      </c>
      <c r="B308" s="3"/>
      <c r="C308" s="15" t="s">
        <v>109</v>
      </c>
      <c r="D308" s="9" t="s">
        <v>142</v>
      </c>
    </row>
    <row r="309" spans="1:4">
      <c r="A309" s="15">
        <v>309</v>
      </c>
      <c r="B309" s="3"/>
      <c r="C309" s="15" t="s">
        <v>110</v>
      </c>
      <c r="D309" s="9" t="s">
        <v>142</v>
      </c>
    </row>
    <row r="310" spans="1:4">
      <c r="A310" s="15">
        <v>310</v>
      </c>
      <c r="B310" s="3"/>
      <c r="C310" s="15" t="s">
        <v>111</v>
      </c>
      <c r="D310" s="9" t="s">
        <v>142</v>
      </c>
    </row>
    <row r="311" spans="1:4">
      <c r="A311" s="15">
        <v>311</v>
      </c>
      <c r="B311" s="3"/>
      <c r="C311" s="15" t="s">
        <v>112</v>
      </c>
      <c r="D311" s="9" t="s">
        <v>142</v>
      </c>
    </row>
    <row r="312" spans="1:4">
      <c r="A312" s="15">
        <v>312</v>
      </c>
      <c r="B312" s="3"/>
      <c r="C312" s="15" t="s">
        <v>113</v>
      </c>
      <c r="D312" s="9" t="s">
        <v>142</v>
      </c>
    </row>
    <row r="313" spans="1:4">
      <c r="A313" s="15">
        <v>313</v>
      </c>
      <c r="B313" s="3"/>
      <c r="C313" s="15" t="s">
        <v>114</v>
      </c>
      <c r="D313" s="9" t="s">
        <v>142</v>
      </c>
    </row>
    <row r="314" spans="1:4">
      <c r="A314" s="15">
        <v>314</v>
      </c>
      <c r="B314" s="3"/>
      <c r="C314" s="15" t="s">
        <v>115</v>
      </c>
      <c r="D314" s="9" t="s">
        <v>142</v>
      </c>
    </row>
    <row r="315" spans="1:4">
      <c r="A315" s="15">
        <v>315</v>
      </c>
      <c r="B315" s="3"/>
      <c r="C315" s="15" t="s">
        <v>116</v>
      </c>
      <c r="D315" s="9" t="s">
        <v>142</v>
      </c>
    </row>
    <row r="316" spans="1:4">
      <c r="A316" s="15">
        <v>316</v>
      </c>
      <c r="B316" s="3"/>
      <c r="C316" s="15" t="s">
        <v>117</v>
      </c>
      <c r="D316" s="9" t="s">
        <v>142</v>
      </c>
    </row>
    <row r="317" spans="1:4">
      <c r="A317" s="15">
        <v>317</v>
      </c>
      <c r="B317" s="3"/>
      <c r="C317" s="15" t="s">
        <v>118</v>
      </c>
      <c r="D317" s="9" t="s">
        <v>142</v>
      </c>
    </row>
    <row r="318" spans="1:4">
      <c r="A318" s="15">
        <v>318</v>
      </c>
      <c r="B318" s="3"/>
      <c r="C318" s="15" t="s">
        <v>119</v>
      </c>
      <c r="D318" s="9" t="s">
        <v>142</v>
      </c>
    </row>
    <row r="319" spans="1:4">
      <c r="A319" s="15">
        <v>319</v>
      </c>
      <c r="B319" s="3"/>
      <c r="C319" s="15" t="s">
        <v>120</v>
      </c>
      <c r="D319" s="9" t="s">
        <v>142</v>
      </c>
    </row>
    <row r="320" spans="1:4">
      <c r="A320" s="15">
        <v>320</v>
      </c>
      <c r="B320" s="3"/>
      <c r="C320" s="15" t="s">
        <v>122</v>
      </c>
      <c r="D320" s="9" t="s">
        <v>142</v>
      </c>
    </row>
    <row r="321" spans="1:4">
      <c r="A321" s="15">
        <v>321</v>
      </c>
      <c r="B321" s="3"/>
      <c r="C321" s="15" t="s">
        <v>123</v>
      </c>
      <c r="D321" s="9" t="s">
        <v>142</v>
      </c>
    </row>
    <row r="322" spans="1:4">
      <c r="A322" s="15">
        <v>322</v>
      </c>
      <c r="B322" s="3"/>
      <c r="C322" s="15" t="s">
        <v>124</v>
      </c>
      <c r="D322" s="9" t="s">
        <v>142</v>
      </c>
    </row>
    <row r="323" spans="1:4">
      <c r="A323" s="15">
        <v>323</v>
      </c>
      <c r="B323" s="3"/>
      <c r="C323" s="15" t="s">
        <v>125</v>
      </c>
      <c r="D323" s="9" t="s">
        <v>142</v>
      </c>
    </row>
    <row r="324" spans="1:4">
      <c r="A324" s="15">
        <v>324</v>
      </c>
      <c r="B324" s="3"/>
      <c r="C324" s="15" t="s">
        <v>126</v>
      </c>
      <c r="D324" s="9" t="s">
        <v>142</v>
      </c>
    </row>
    <row r="325" spans="1:4">
      <c r="A325" s="15">
        <v>325</v>
      </c>
      <c r="B325" s="3"/>
      <c r="C325" s="15" t="s">
        <v>127</v>
      </c>
      <c r="D325" s="9" t="s">
        <v>142</v>
      </c>
    </row>
    <row r="326" spans="1:4">
      <c r="A326" s="15">
        <v>326</v>
      </c>
      <c r="B326" s="3"/>
      <c r="C326" s="15" t="s">
        <v>128</v>
      </c>
      <c r="D326" s="9" t="s">
        <v>142</v>
      </c>
    </row>
    <row r="327" spans="1:4">
      <c r="A327" s="15">
        <v>327</v>
      </c>
      <c r="B327" s="3"/>
      <c r="C327" s="15" t="s">
        <v>129</v>
      </c>
      <c r="D327" s="9" t="s">
        <v>142</v>
      </c>
    </row>
    <row r="328" spans="1:4">
      <c r="A328" s="15">
        <v>328</v>
      </c>
      <c r="B328" s="3"/>
      <c r="C328" s="15" t="s">
        <v>130</v>
      </c>
      <c r="D328" s="9" t="s">
        <v>142</v>
      </c>
    </row>
    <row r="329" spans="1:4">
      <c r="A329" s="15">
        <v>329</v>
      </c>
      <c r="B329" s="3"/>
      <c r="C329" s="15" t="s">
        <v>131</v>
      </c>
      <c r="D329" s="9" t="s">
        <v>142</v>
      </c>
    </row>
    <row r="330" spans="1:4" s="1" customFormat="1">
      <c r="A330" s="15">
        <v>330</v>
      </c>
      <c r="B330" s="8"/>
      <c r="C330" s="16" t="s">
        <v>121</v>
      </c>
      <c r="D330" s="10" t="s">
        <v>142</v>
      </c>
    </row>
    <row r="331" spans="1:4">
      <c r="A331" s="15">
        <v>331</v>
      </c>
      <c r="B331" s="3"/>
      <c r="C331" s="15" t="s">
        <v>107</v>
      </c>
      <c r="D331" s="9" t="s">
        <v>143</v>
      </c>
    </row>
    <row r="332" spans="1:4">
      <c r="A332" s="15">
        <v>332</v>
      </c>
      <c r="B332" s="3"/>
      <c r="C332" s="15" t="s">
        <v>108</v>
      </c>
      <c r="D332" s="9" t="s">
        <v>143</v>
      </c>
    </row>
    <row r="333" spans="1:4">
      <c r="A333" s="15">
        <v>333</v>
      </c>
      <c r="B333" s="3"/>
      <c r="C333" s="15" t="s">
        <v>109</v>
      </c>
      <c r="D333" s="9" t="s">
        <v>143</v>
      </c>
    </row>
    <row r="334" spans="1:4">
      <c r="A334" s="15">
        <v>334</v>
      </c>
      <c r="B334" s="3"/>
      <c r="C334" s="15" t="s">
        <v>110</v>
      </c>
      <c r="D334" s="9" t="s">
        <v>143</v>
      </c>
    </row>
    <row r="335" spans="1:4">
      <c r="A335" s="15">
        <v>335</v>
      </c>
      <c r="B335" s="3"/>
      <c r="C335" s="15" t="s">
        <v>111</v>
      </c>
      <c r="D335" s="9" t="s">
        <v>143</v>
      </c>
    </row>
    <row r="336" spans="1:4">
      <c r="A336" s="15">
        <v>336</v>
      </c>
      <c r="B336" s="3"/>
      <c r="C336" s="15" t="s">
        <v>112</v>
      </c>
      <c r="D336" s="9" t="s">
        <v>143</v>
      </c>
    </row>
    <row r="337" spans="1:4">
      <c r="A337" s="15">
        <v>337</v>
      </c>
      <c r="B337" s="3"/>
      <c r="C337" s="15" t="s">
        <v>113</v>
      </c>
      <c r="D337" s="9" t="s">
        <v>143</v>
      </c>
    </row>
    <row r="338" spans="1:4">
      <c r="A338" s="15">
        <v>338</v>
      </c>
      <c r="B338" s="3"/>
      <c r="C338" s="15" t="s">
        <v>114</v>
      </c>
      <c r="D338" s="9" t="s">
        <v>143</v>
      </c>
    </row>
    <row r="339" spans="1:4">
      <c r="A339" s="15">
        <v>339</v>
      </c>
      <c r="B339" s="3"/>
      <c r="C339" s="15" t="s">
        <v>115</v>
      </c>
      <c r="D339" s="9" t="s">
        <v>143</v>
      </c>
    </row>
    <row r="340" spans="1:4">
      <c r="A340" s="15">
        <v>340</v>
      </c>
      <c r="B340" s="3"/>
      <c r="C340" s="15" t="s">
        <v>116</v>
      </c>
      <c r="D340" s="9" t="s">
        <v>143</v>
      </c>
    </row>
    <row r="341" spans="1:4">
      <c r="A341" s="15">
        <v>341</v>
      </c>
      <c r="B341" s="3"/>
      <c r="C341" s="15" t="s">
        <v>117</v>
      </c>
      <c r="D341" s="9" t="s">
        <v>143</v>
      </c>
    </row>
    <row r="342" spans="1:4">
      <c r="A342" s="15">
        <v>342</v>
      </c>
      <c r="B342" s="3"/>
      <c r="C342" s="15" t="s">
        <v>118</v>
      </c>
      <c r="D342" s="9" t="s">
        <v>143</v>
      </c>
    </row>
    <row r="343" spans="1:4">
      <c r="A343" s="15">
        <v>343</v>
      </c>
      <c r="B343" s="3"/>
      <c r="C343" s="15" t="s">
        <v>119</v>
      </c>
      <c r="D343" s="9" t="s">
        <v>143</v>
      </c>
    </row>
    <row r="344" spans="1:4">
      <c r="A344" s="15">
        <v>344</v>
      </c>
      <c r="B344" s="3"/>
      <c r="C344" s="15" t="s">
        <v>120</v>
      </c>
      <c r="D344" s="9" t="s">
        <v>143</v>
      </c>
    </row>
    <row r="345" spans="1:4">
      <c r="A345" s="15">
        <v>345</v>
      </c>
      <c r="B345" s="3"/>
      <c r="C345" s="15" t="s">
        <v>122</v>
      </c>
      <c r="D345" s="9" t="s">
        <v>143</v>
      </c>
    </row>
    <row r="346" spans="1:4">
      <c r="A346" s="15">
        <v>346</v>
      </c>
      <c r="B346" s="3"/>
      <c r="C346" s="15" t="s">
        <v>123</v>
      </c>
      <c r="D346" s="9" t="s">
        <v>143</v>
      </c>
    </row>
    <row r="347" spans="1:4">
      <c r="A347" s="15">
        <v>347</v>
      </c>
      <c r="B347" s="3"/>
      <c r="C347" s="15" t="s">
        <v>124</v>
      </c>
      <c r="D347" s="9" t="s">
        <v>143</v>
      </c>
    </row>
    <row r="348" spans="1:4">
      <c r="A348" s="15">
        <v>348</v>
      </c>
      <c r="B348" s="3"/>
      <c r="C348" s="15" t="s">
        <v>125</v>
      </c>
      <c r="D348" s="9" t="s">
        <v>143</v>
      </c>
    </row>
    <row r="349" spans="1:4">
      <c r="A349" s="15">
        <v>349</v>
      </c>
      <c r="B349" s="3"/>
      <c r="C349" s="15" t="s">
        <v>126</v>
      </c>
      <c r="D349" s="9" t="s">
        <v>143</v>
      </c>
    </row>
    <row r="350" spans="1:4">
      <c r="A350" s="15">
        <v>350</v>
      </c>
      <c r="B350" s="3"/>
      <c r="C350" s="15" t="s">
        <v>127</v>
      </c>
      <c r="D350" s="9" t="s">
        <v>143</v>
      </c>
    </row>
    <row r="351" spans="1:4">
      <c r="A351" s="15">
        <v>351</v>
      </c>
      <c r="B351" s="3"/>
      <c r="C351" s="15" t="s">
        <v>128</v>
      </c>
      <c r="D351" s="9" t="s">
        <v>143</v>
      </c>
    </row>
    <row r="352" spans="1:4">
      <c r="A352" s="15">
        <v>352</v>
      </c>
      <c r="B352" s="3"/>
      <c r="C352" s="15" t="s">
        <v>129</v>
      </c>
      <c r="D352" s="9" t="s">
        <v>143</v>
      </c>
    </row>
    <row r="353" spans="1:4">
      <c r="A353" s="15">
        <v>353</v>
      </c>
      <c r="B353" s="3"/>
      <c r="C353" s="15" t="s">
        <v>130</v>
      </c>
      <c r="D353" s="9" t="s">
        <v>143</v>
      </c>
    </row>
    <row r="354" spans="1:4">
      <c r="A354" s="15">
        <v>354</v>
      </c>
      <c r="B354" s="3"/>
      <c r="C354" s="15" t="s">
        <v>131</v>
      </c>
      <c r="D354" s="9" t="s">
        <v>143</v>
      </c>
    </row>
    <row r="355" spans="1:4" s="1" customFormat="1">
      <c r="A355" s="15">
        <v>355</v>
      </c>
      <c r="B355" s="8"/>
      <c r="C355" s="16" t="s">
        <v>121</v>
      </c>
      <c r="D355" s="10" t="s">
        <v>143</v>
      </c>
    </row>
    <row r="356" spans="1:4">
      <c r="A356" s="15">
        <v>356</v>
      </c>
      <c r="B356" s="3"/>
      <c r="C356" s="15" t="s">
        <v>107</v>
      </c>
      <c r="D356" s="9" t="s">
        <v>144</v>
      </c>
    </row>
    <row r="357" spans="1:4">
      <c r="A357" s="15">
        <v>357</v>
      </c>
      <c r="B357" s="3"/>
      <c r="C357" s="15" t="s">
        <v>108</v>
      </c>
      <c r="D357" s="9" t="s">
        <v>144</v>
      </c>
    </row>
    <row r="358" spans="1:4">
      <c r="A358" s="15">
        <v>358</v>
      </c>
      <c r="B358" s="3"/>
      <c r="C358" s="15" t="s">
        <v>109</v>
      </c>
      <c r="D358" s="9" t="s">
        <v>144</v>
      </c>
    </row>
    <row r="359" spans="1:4">
      <c r="A359" s="15">
        <v>359</v>
      </c>
      <c r="B359" s="3"/>
      <c r="C359" s="15" t="s">
        <v>110</v>
      </c>
      <c r="D359" s="9" t="s">
        <v>144</v>
      </c>
    </row>
    <row r="360" spans="1:4">
      <c r="A360" s="15">
        <v>360</v>
      </c>
      <c r="B360" s="3"/>
      <c r="C360" s="15" t="s">
        <v>111</v>
      </c>
      <c r="D360" s="9" t="s">
        <v>144</v>
      </c>
    </row>
    <row r="361" spans="1:4">
      <c r="A361" s="15">
        <v>361</v>
      </c>
      <c r="B361" s="3"/>
      <c r="C361" s="15" t="s">
        <v>112</v>
      </c>
      <c r="D361" s="9" t="s">
        <v>144</v>
      </c>
    </row>
    <row r="362" spans="1:4">
      <c r="A362" s="15">
        <v>362</v>
      </c>
      <c r="B362" s="3"/>
      <c r="C362" s="15" t="s">
        <v>113</v>
      </c>
      <c r="D362" s="9" t="s">
        <v>144</v>
      </c>
    </row>
    <row r="363" spans="1:4">
      <c r="A363" s="15">
        <v>363</v>
      </c>
      <c r="B363" s="3"/>
      <c r="C363" s="15" t="s">
        <v>114</v>
      </c>
      <c r="D363" s="9" t="s">
        <v>144</v>
      </c>
    </row>
    <row r="364" spans="1:4">
      <c r="A364" s="15">
        <v>364</v>
      </c>
      <c r="B364" s="3"/>
      <c r="C364" s="15" t="s">
        <v>115</v>
      </c>
      <c r="D364" s="9" t="s">
        <v>144</v>
      </c>
    </row>
    <row r="365" spans="1:4">
      <c r="A365" s="15">
        <v>365</v>
      </c>
      <c r="B365" s="3"/>
      <c r="C365" s="15" t="s">
        <v>116</v>
      </c>
      <c r="D365" s="9" t="s">
        <v>144</v>
      </c>
    </row>
    <row r="366" spans="1:4">
      <c r="A366" s="15">
        <v>366</v>
      </c>
      <c r="B366" s="3"/>
      <c r="C366" s="15" t="s">
        <v>117</v>
      </c>
      <c r="D366" s="9" t="s">
        <v>144</v>
      </c>
    </row>
    <row r="367" spans="1:4">
      <c r="A367" s="15">
        <v>367</v>
      </c>
      <c r="B367" s="3"/>
      <c r="C367" s="15" t="s">
        <v>118</v>
      </c>
      <c r="D367" s="9" t="s">
        <v>144</v>
      </c>
    </row>
    <row r="368" spans="1:4">
      <c r="A368" s="15">
        <v>368</v>
      </c>
      <c r="B368" s="3"/>
      <c r="C368" s="15" t="s">
        <v>119</v>
      </c>
      <c r="D368" s="9" t="s">
        <v>144</v>
      </c>
    </row>
    <row r="369" spans="1:4">
      <c r="A369" s="15">
        <v>369</v>
      </c>
      <c r="B369" s="3"/>
      <c r="C369" s="15" t="s">
        <v>120</v>
      </c>
      <c r="D369" s="9" t="s">
        <v>144</v>
      </c>
    </row>
    <row r="370" spans="1:4">
      <c r="A370" s="15">
        <v>370</v>
      </c>
      <c r="B370" s="3"/>
      <c r="C370" s="15" t="s">
        <v>122</v>
      </c>
      <c r="D370" s="9" t="s">
        <v>144</v>
      </c>
    </row>
    <row r="371" spans="1:4">
      <c r="A371" s="15">
        <v>371</v>
      </c>
      <c r="B371" s="3"/>
      <c r="C371" s="15" t="s">
        <v>123</v>
      </c>
      <c r="D371" s="9" t="s">
        <v>144</v>
      </c>
    </row>
    <row r="372" spans="1:4">
      <c r="A372" s="15">
        <v>372</v>
      </c>
      <c r="B372" s="3"/>
      <c r="C372" s="15" t="s">
        <v>124</v>
      </c>
      <c r="D372" s="9" t="s">
        <v>144</v>
      </c>
    </row>
    <row r="373" spans="1:4">
      <c r="A373" s="15">
        <v>373</v>
      </c>
      <c r="B373" s="3"/>
      <c r="C373" s="15" t="s">
        <v>125</v>
      </c>
      <c r="D373" s="9" t="s">
        <v>144</v>
      </c>
    </row>
    <row r="374" spans="1:4">
      <c r="A374" s="15">
        <v>374</v>
      </c>
      <c r="B374" s="3"/>
      <c r="C374" s="15" t="s">
        <v>126</v>
      </c>
      <c r="D374" s="9" t="s">
        <v>144</v>
      </c>
    </row>
    <row r="375" spans="1:4">
      <c r="A375" s="15">
        <v>375</v>
      </c>
      <c r="B375" s="3"/>
      <c r="C375" s="15" t="s">
        <v>127</v>
      </c>
      <c r="D375" s="9" t="s">
        <v>144</v>
      </c>
    </row>
    <row r="376" spans="1:4">
      <c r="A376" s="15">
        <v>376</v>
      </c>
      <c r="B376" s="3"/>
      <c r="C376" s="15" t="s">
        <v>128</v>
      </c>
      <c r="D376" s="9" t="s">
        <v>144</v>
      </c>
    </row>
    <row r="377" spans="1:4">
      <c r="A377" s="15">
        <v>377</v>
      </c>
      <c r="B377" s="3"/>
      <c r="C377" s="15" t="s">
        <v>129</v>
      </c>
      <c r="D377" s="9" t="s">
        <v>144</v>
      </c>
    </row>
    <row r="378" spans="1:4">
      <c r="A378" s="15">
        <v>378</v>
      </c>
      <c r="B378" s="3"/>
      <c r="C378" s="15" t="s">
        <v>130</v>
      </c>
      <c r="D378" s="9" t="s">
        <v>144</v>
      </c>
    </row>
    <row r="379" spans="1:4">
      <c r="A379" s="15">
        <v>379</v>
      </c>
      <c r="B379" s="3"/>
      <c r="C379" s="15" t="s">
        <v>131</v>
      </c>
      <c r="D379" s="9" t="s">
        <v>144</v>
      </c>
    </row>
    <row r="380" spans="1:4" s="1" customFormat="1">
      <c r="A380" s="15">
        <v>380</v>
      </c>
      <c r="B380" s="8"/>
      <c r="C380" s="16" t="s">
        <v>121</v>
      </c>
      <c r="D380" s="10" t="s">
        <v>144</v>
      </c>
    </row>
    <row r="381" spans="1:4">
      <c r="A381" s="15">
        <v>381</v>
      </c>
      <c r="B381" s="3"/>
      <c r="C381" s="15" t="s">
        <v>107</v>
      </c>
      <c r="D381" s="9" t="s">
        <v>145</v>
      </c>
    </row>
    <row r="382" spans="1:4">
      <c r="A382" s="15">
        <v>382</v>
      </c>
      <c r="B382" s="3"/>
      <c r="C382" s="15" t="s">
        <v>108</v>
      </c>
      <c r="D382" s="9" t="s">
        <v>145</v>
      </c>
    </row>
    <row r="383" spans="1:4">
      <c r="A383" s="15">
        <v>383</v>
      </c>
      <c r="B383" s="3"/>
      <c r="C383" s="15" t="s">
        <v>109</v>
      </c>
      <c r="D383" s="9" t="s">
        <v>145</v>
      </c>
    </row>
    <row r="384" spans="1:4">
      <c r="A384" s="15">
        <v>384</v>
      </c>
      <c r="B384" s="3"/>
      <c r="C384" s="15" t="s">
        <v>110</v>
      </c>
      <c r="D384" s="9" t="s">
        <v>145</v>
      </c>
    </row>
    <row r="385" spans="1:4">
      <c r="A385" s="15">
        <v>385</v>
      </c>
      <c r="B385" s="3"/>
      <c r="C385" s="15" t="s">
        <v>111</v>
      </c>
      <c r="D385" s="9" t="s">
        <v>145</v>
      </c>
    </row>
    <row r="386" spans="1:4">
      <c r="A386" s="15">
        <v>386</v>
      </c>
      <c r="B386" s="3"/>
      <c r="C386" s="15" t="s">
        <v>112</v>
      </c>
      <c r="D386" s="9" t="s">
        <v>145</v>
      </c>
    </row>
    <row r="387" spans="1:4">
      <c r="A387" s="15">
        <v>387</v>
      </c>
      <c r="B387" s="3"/>
      <c r="C387" s="15" t="s">
        <v>113</v>
      </c>
      <c r="D387" s="9" t="s">
        <v>145</v>
      </c>
    </row>
    <row r="388" spans="1:4">
      <c r="A388" s="15">
        <v>388</v>
      </c>
      <c r="B388" s="3"/>
      <c r="C388" s="15" t="s">
        <v>114</v>
      </c>
      <c r="D388" s="9" t="s">
        <v>145</v>
      </c>
    </row>
    <row r="389" spans="1:4">
      <c r="A389" s="15">
        <v>389</v>
      </c>
      <c r="B389" s="3"/>
      <c r="C389" s="15" t="s">
        <v>115</v>
      </c>
      <c r="D389" s="9" t="s">
        <v>145</v>
      </c>
    </row>
    <row r="390" spans="1:4">
      <c r="A390" s="15">
        <v>390</v>
      </c>
      <c r="B390" s="3"/>
      <c r="C390" s="15" t="s">
        <v>116</v>
      </c>
      <c r="D390" s="9" t="s">
        <v>145</v>
      </c>
    </row>
    <row r="391" spans="1:4">
      <c r="A391" s="15">
        <v>391</v>
      </c>
      <c r="B391" s="3"/>
      <c r="C391" s="15" t="s">
        <v>117</v>
      </c>
      <c r="D391" s="9" t="s">
        <v>145</v>
      </c>
    </row>
    <row r="392" spans="1:4">
      <c r="A392" s="15">
        <v>392</v>
      </c>
      <c r="B392" s="3"/>
      <c r="C392" s="15" t="s">
        <v>118</v>
      </c>
      <c r="D392" s="9" t="s">
        <v>145</v>
      </c>
    </row>
    <row r="393" spans="1:4">
      <c r="A393" s="15">
        <v>393</v>
      </c>
      <c r="B393" s="3"/>
      <c r="C393" s="15" t="s">
        <v>119</v>
      </c>
      <c r="D393" s="9" t="s">
        <v>145</v>
      </c>
    </row>
    <row r="394" spans="1:4">
      <c r="A394" s="15">
        <v>394</v>
      </c>
      <c r="B394" s="3"/>
      <c r="C394" s="15" t="s">
        <v>120</v>
      </c>
      <c r="D394" s="9" t="s">
        <v>145</v>
      </c>
    </row>
    <row r="395" spans="1:4">
      <c r="A395" s="15">
        <v>395</v>
      </c>
      <c r="B395" s="3"/>
      <c r="C395" s="15" t="s">
        <v>122</v>
      </c>
      <c r="D395" s="9" t="s">
        <v>145</v>
      </c>
    </row>
    <row r="396" spans="1:4">
      <c r="A396" s="15">
        <v>396</v>
      </c>
      <c r="B396" s="3"/>
      <c r="C396" s="15" t="s">
        <v>123</v>
      </c>
      <c r="D396" s="9" t="s">
        <v>145</v>
      </c>
    </row>
    <row r="397" spans="1:4">
      <c r="A397" s="15">
        <v>397</v>
      </c>
      <c r="B397" s="3"/>
      <c r="C397" s="15" t="s">
        <v>124</v>
      </c>
      <c r="D397" s="9" t="s">
        <v>145</v>
      </c>
    </row>
    <row r="398" spans="1:4">
      <c r="A398" s="15">
        <v>398</v>
      </c>
      <c r="B398" s="3"/>
      <c r="C398" s="15" t="s">
        <v>125</v>
      </c>
      <c r="D398" s="9" t="s">
        <v>145</v>
      </c>
    </row>
    <row r="399" spans="1:4">
      <c r="A399" s="15">
        <v>399</v>
      </c>
      <c r="B399" s="3"/>
      <c r="C399" s="15" t="s">
        <v>126</v>
      </c>
      <c r="D399" s="9" t="s">
        <v>145</v>
      </c>
    </row>
    <row r="400" spans="1:4">
      <c r="A400" s="15">
        <v>400</v>
      </c>
      <c r="B400" s="3"/>
      <c r="C400" s="15" t="s">
        <v>127</v>
      </c>
      <c r="D400" s="9" t="s">
        <v>145</v>
      </c>
    </row>
    <row r="401" spans="1:4">
      <c r="A401" s="15">
        <v>401</v>
      </c>
      <c r="B401" s="3"/>
      <c r="C401" s="15" t="s">
        <v>128</v>
      </c>
      <c r="D401" s="9" t="s">
        <v>145</v>
      </c>
    </row>
    <row r="402" spans="1:4">
      <c r="A402" s="15">
        <v>402</v>
      </c>
      <c r="B402" s="3"/>
      <c r="C402" s="15" t="s">
        <v>129</v>
      </c>
      <c r="D402" s="9" t="s">
        <v>145</v>
      </c>
    </row>
    <row r="403" spans="1:4">
      <c r="A403" s="15">
        <v>403</v>
      </c>
      <c r="B403" s="3"/>
      <c r="C403" s="15" t="s">
        <v>130</v>
      </c>
      <c r="D403" s="9" t="s">
        <v>145</v>
      </c>
    </row>
    <row r="404" spans="1:4">
      <c r="A404" s="15">
        <v>404</v>
      </c>
      <c r="B404" s="3"/>
      <c r="C404" s="15" t="s">
        <v>131</v>
      </c>
      <c r="D404" s="9" t="s">
        <v>145</v>
      </c>
    </row>
    <row r="405" spans="1:4" s="1" customFormat="1">
      <c r="A405" s="15">
        <v>405</v>
      </c>
      <c r="B405" s="8"/>
      <c r="C405" s="16" t="s">
        <v>121</v>
      </c>
      <c r="D405" s="10" t="s">
        <v>145</v>
      </c>
    </row>
    <row r="406" spans="1:4">
      <c r="A406" s="15">
        <v>406</v>
      </c>
      <c r="B406" s="3"/>
      <c r="C406" s="15" t="s">
        <v>107</v>
      </c>
      <c r="D406" s="9" t="s">
        <v>146</v>
      </c>
    </row>
    <row r="407" spans="1:4">
      <c r="A407" s="15">
        <v>407</v>
      </c>
      <c r="B407" s="3"/>
      <c r="C407" s="15" t="s">
        <v>108</v>
      </c>
      <c r="D407" s="9" t="s">
        <v>146</v>
      </c>
    </row>
    <row r="408" spans="1:4">
      <c r="A408" s="15">
        <v>408</v>
      </c>
      <c r="B408" s="3"/>
      <c r="C408" s="15" t="s">
        <v>109</v>
      </c>
      <c r="D408" s="9" t="s">
        <v>146</v>
      </c>
    </row>
    <row r="409" spans="1:4">
      <c r="A409" s="15">
        <v>409</v>
      </c>
      <c r="B409" s="3"/>
      <c r="C409" s="15" t="s">
        <v>110</v>
      </c>
      <c r="D409" s="9" t="s">
        <v>146</v>
      </c>
    </row>
    <row r="410" spans="1:4">
      <c r="A410" s="15">
        <v>410</v>
      </c>
      <c r="B410" s="3"/>
      <c r="C410" s="15" t="s">
        <v>111</v>
      </c>
      <c r="D410" s="9" t="s">
        <v>146</v>
      </c>
    </row>
    <row r="411" spans="1:4">
      <c r="A411" s="15">
        <v>411</v>
      </c>
      <c r="B411" s="3"/>
      <c r="C411" s="15" t="s">
        <v>112</v>
      </c>
      <c r="D411" s="9" t="s">
        <v>146</v>
      </c>
    </row>
    <row r="412" spans="1:4">
      <c r="A412" s="15">
        <v>412</v>
      </c>
      <c r="B412" s="3"/>
      <c r="C412" s="15" t="s">
        <v>113</v>
      </c>
      <c r="D412" s="9" t="s">
        <v>146</v>
      </c>
    </row>
    <row r="413" spans="1:4">
      <c r="A413" s="15">
        <v>413</v>
      </c>
      <c r="B413" s="3"/>
      <c r="C413" s="15" t="s">
        <v>114</v>
      </c>
      <c r="D413" s="9" t="s">
        <v>146</v>
      </c>
    </row>
    <row r="414" spans="1:4">
      <c r="A414" s="15">
        <v>414</v>
      </c>
      <c r="B414" s="3"/>
      <c r="C414" s="15" t="s">
        <v>115</v>
      </c>
      <c r="D414" s="9" t="s">
        <v>146</v>
      </c>
    </row>
    <row r="415" spans="1:4">
      <c r="A415" s="15">
        <v>415</v>
      </c>
      <c r="B415" s="3"/>
      <c r="C415" s="15" t="s">
        <v>116</v>
      </c>
      <c r="D415" s="9" t="s">
        <v>146</v>
      </c>
    </row>
    <row r="416" spans="1:4">
      <c r="A416" s="15">
        <v>416</v>
      </c>
      <c r="B416" s="3"/>
      <c r="C416" s="15" t="s">
        <v>117</v>
      </c>
      <c r="D416" s="9" t="s">
        <v>146</v>
      </c>
    </row>
    <row r="417" spans="1:4">
      <c r="A417" s="15">
        <v>417</v>
      </c>
      <c r="B417" s="3"/>
      <c r="C417" s="15" t="s">
        <v>118</v>
      </c>
      <c r="D417" s="9" t="s">
        <v>146</v>
      </c>
    </row>
    <row r="418" spans="1:4">
      <c r="A418" s="15">
        <v>418</v>
      </c>
      <c r="B418" s="3"/>
      <c r="C418" s="15" t="s">
        <v>119</v>
      </c>
      <c r="D418" s="9" t="s">
        <v>146</v>
      </c>
    </row>
    <row r="419" spans="1:4">
      <c r="A419" s="15">
        <v>419</v>
      </c>
      <c r="B419" s="3"/>
      <c r="C419" s="15" t="s">
        <v>120</v>
      </c>
      <c r="D419" s="9" t="s">
        <v>146</v>
      </c>
    </row>
    <row r="420" spans="1:4">
      <c r="A420" s="15">
        <v>420</v>
      </c>
      <c r="B420" s="3"/>
      <c r="C420" s="15" t="s">
        <v>122</v>
      </c>
      <c r="D420" s="9" t="s">
        <v>146</v>
      </c>
    </row>
    <row r="421" spans="1:4">
      <c r="A421" s="15">
        <v>421</v>
      </c>
      <c r="B421" s="3"/>
      <c r="C421" s="15" t="s">
        <v>123</v>
      </c>
      <c r="D421" s="9" t="s">
        <v>146</v>
      </c>
    </row>
    <row r="422" spans="1:4">
      <c r="A422" s="15">
        <v>422</v>
      </c>
      <c r="B422" s="3"/>
      <c r="C422" s="15" t="s">
        <v>124</v>
      </c>
      <c r="D422" s="9" t="s">
        <v>146</v>
      </c>
    </row>
    <row r="423" spans="1:4">
      <c r="A423" s="15">
        <v>423</v>
      </c>
      <c r="B423" s="3"/>
      <c r="C423" s="15" t="s">
        <v>125</v>
      </c>
      <c r="D423" s="9" t="s">
        <v>146</v>
      </c>
    </row>
    <row r="424" spans="1:4">
      <c r="A424" s="15">
        <v>424</v>
      </c>
      <c r="B424" s="3"/>
      <c r="C424" s="15" t="s">
        <v>126</v>
      </c>
      <c r="D424" s="9" t="s">
        <v>146</v>
      </c>
    </row>
    <row r="425" spans="1:4">
      <c r="A425" s="15">
        <v>425</v>
      </c>
      <c r="B425" s="3"/>
      <c r="C425" s="15" t="s">
        <v>127</v>
      </c>
      <c r="D425" s="9" t="s">
        <v>146</v>
      </c>
    </row>
    <row r="426" spans="1:4">
      <c r="A426" s="15">
        <v>426</v>
      </c>
      <c r="B426" s="3"/>
      <c r="C426" s="15" t="s">
        <v>128</v>
      </c>
      <c r="D426" s="9" t="s">
        <v>146</v>
      </c>
    </row>
    <row r="427" spans="1:4">
      <c r="A427" s="15">
        <v>427</v>
      </c>
      <c r="B427" s="3"/>
      <c r="C427" s="15" t="s">
        <v>129</v>
      </c>
      <c r="D427" s="9" t="s">
        <v>146</v>
      </c>
    </row>
    <row r="428" spans="1:4">
      <c r="A428" s="15">
        <v>428</v>
      </c>
      <c r="B428" s="3"/>
      <c r="C428" s="15" t="s">
        <v>130</v>
      </c>
      <c r="D428" s="9" t="s">
        <v>146</v>
      </c>
    </row>
    <row r="429" spans="1:4">
      <c r="A429" s="15">
        <v>429</v>
      </c>
      <c r="B429" s="3"/>
      <c r="C429" s="15" t="s">
        <v>131</v>
      </c>
      <c r="D429" s="9" t="s">
        <v>146</v>
      </c>
    </row>
    <row r="430" spans="1:4" s="1" customFormat="1">
      <c r="A430" s="15">
        <v>430</v>
      </c>
      <c r="B430" s="8"/>
      <c r="C430" s="16" t="s">
        <v>121</v>
      </c>
      <c r="D430" s="10" t="s">
        <v>146</v>
      </c>
    </row>
    <row r="431" spans="1:4">
      <c r="A431" s="15">
        <v>431</v>
      </c>
      <c r="B431" s="3"/>
      <c r="C431" s="15" t="s">
        <v>107</v>
      </c>
      <c r="D431" s="9" t="s">
        <v>147</v>
      </c>
    </row>
    <row r="432" spans="1:4">
      <c r="A432" s="15">
        <v>432</v>
      </c>
      <c r="B432" s="3"/>
      <c r="C432" s="15" t="s">
        <v>108</v>
      </c>
      <c r="D432" s="9" t="s">
        <v>147</v>
      </c>
    </row>
    <row r="433" spans="1:4">
      <c r="A433" s="15">
        <v>433</v>
      </c>
      <c r="B433" s="3"/>
      <c r="C433" s="15" t="s">
        <v>109</v>
      </c>
      <c r="D433" s="9" t="s">
        <v>147</v>
      </c>
    </row>
    <row r="434" spans="1:4">
      <c r="A434" s="15">
        <v>434</v>
      </c>
      <c r="B434" s="3"/>
      <c r="C434" s="15" t="s">
        <v>110</v>
      </c>
      <c r="D434" s="9" t="s">
        <v>147</v>
      </c>
    </row>
    <row r="435" spans="1:4">
      <c r="A435" s="15">
        <v>435</v>
      </c>
      <c r="B435" s="3"/>
      <c r="C435" s="15" t="s">
        <v>111</v>
      </c>
      <c r="D435" s="9" t="s">
        <v>147</v>
      </c>
    </row>
    <row r="436" spans="1:4">
      <c r="A436" s="15">
        <v>436</v>
      </c>
      <c r="B436" s="3"/>
      <c r="C436" s="15" t="s">
        <v>112</v>
      </c>
      <c r="D436" s="9" t="s">
        <v>147</v>
      </c>
    </row>
    <row r="437" spans="1:4">
      <c r="A437" s="15">
        <v>437</v>
      </c>
      <c r="B437" s="3"/>
      <c r="C437" s="15" t="s">
        <v>113</v>
      </c>
      <c r="D437" s="9" t="s">
        <v>147</v>
      </c>
    </row>
    <row r="438" spans="1:4">
      <c r="A438" s="15">
        <v>438</v>
      </c>
      <c r="B438" s="3"/>
      <c r="C438" s="15" t="s">
        <v>114</v>
      </c>
      <c r="D438" s="9" t="s">
        <v>147</v>
      </c>
    </row>
    <row r="439" spans="1:4">
      <c r="A439" s="15">
        <v>439</v>
      </c>
      <c r="B439" s="3"/>
      <c r="C439" s="15" t="s">
        <v>115</v>
      </c>
      <c r="D439" s="9" t="s">
        <v>147</v>
      </c>
    </row>
    <row r="440" spans="1:4">
      <c r="A440" s="15">
        <v>440</v>
      </c>
      <c r="B440" s="3"/>
      <c r="C440" s="15" t="s">
        <v>116</v>
      </c>
      <c r="D440" s="9" t="s">
        <v>147</v>
      </c>
    </row>
    <row r="441" spans="1:4">
      <c r="A441" s="15">
        <v>441</v>
      </c>
      <c r="B441" s="3"/>
      <c r="C441" s="15" t="s">
        <v>117</v>
      </c>
      <c r="D441" s="9" t="s">
        <v>147</v>
      </c>
    </row>
    <row r="442" spans="1:4">
      <c r="A442" s="15">
        <v>442</v>
      </c>
      <c r="B442" s="3"/>
      <c r="C442" s="15" t="s">
        <v>118</v>
      </c>
      <c r="D442" s="9" t="s">
        <v>147</v>
      </c>
    </row>
    <row r="443" spans="1:4">
      <c r="A443" s="15">
        <v>443</v>
      </c>
      <c r="B443" s="3"/>
      <c r="C443" s="15" t="s">
        <v>119</v>
      </c>
      <c r="D443" s="9" t="s">
        <v>147</v>
      </c>
    </row>
    <row r="444" spans="1:4">
      <c r="A444" s="15">
        <v>444</v>
      </c>
      <c r="B444" s="3"/>
      <c r="C444" s="15" t="s">
        <v>120</v>
      </c>
      <c r="D444" s="9" t="s">
        <v>147</v>
      </c>
    </row>
    <row r="445" spans="1:4">
      <c r="A445" s="15">
        <v>445</v>
      </c>
      <c r="B445" s="3"/>
      <c r="C445" s="15" t="s">
        <v>122</v>
      </c>
      <c r="D445" s="9" t="s">
        <v>147</v>
      </c>
    </row>
    <row r="446" spans="1:4">
      <c r="A446" s="15">
        <v>446</v>
      </c>
      <c r="B446" s="3"/>
      <c r="C446" s="15" t="s">
        <v>123</v>
      </c>
      <c r="D446" s="9" t="s">
        <v>147</v>
      </c>
    </row>
    <row r="447" spans="1:4">
      <c r="A447" s="15">
        <v>447</v>
      </c>
      <c r="B447" s="3"/>
      <c r="C447" s="15" t="s">
        <v>124</v>
      </c>
      <c r="D447" s="9" t="s">
        <v>147</v>
      </c>
    </row>
    <row r="448" spans="1:4">
      <c r="A448" s="15">
        <v>448</v>
      </c>
      <c r="B448" s="3"/>
      <c r="C448" s="15" t="s">
        <v>125</v>
      </c>
      <c r="D448" s="9" t="s">
        <v>147</v>
      </c>
    </row>
    <row r="449" spans="1:4">
      <c r="A449" s="15">
        <v>449</v>
      </c>
      <c r="B449" s="3"/>
      <c r="C449" s="15" t="s">
        <v>126</v>
      </c>
      <c r="D449" s="9" t="s">
        <v>147</v>
      </c>
    </row>
    <row r="450" spans="1:4">
      <c r="A450" s="15">
        <v>450</v>
      </c>
      <c r="B450" s="3"/>
      <c r="C450" s="15" t="s">
        <v>127</v>
      </c>
      <c r="D450" s="9" t="s">
        <v>147</v>
      </c>
    </row>
    <row r="451" spans="1:4">
      <c r="A451" s="15">
        <v>451</v>
      </c>
      <c r="B451" s="3"/>
      <c r="C451" s="15" t="s">
        <v>128</v>
      </c>
      <c r="D451" s="9" t="s">
        <v>147</v>
      </c>
    </row>
    <row r="452" spans="1:4">
      <c r="A452" s="15">
        <v>452</v>
      </c>
      <c r="B452" s="3"/>
      <c r="C452" s="15" t="s">
        <v>129</v>
      </c>
      <c r="D452" s="9" t="s">
        <v>147</v>
      </c>
    </row>
    <row r="453" spans="1:4">
      <c r="A453" s="15">
        <v>453</v>
      </c>
      <c r="B453" s="3"/>
      <c r="C453" s="15" t="s">
        <v>130</v>
      </c>
      <c r="D453" s="9" t="s">
        <v>147</v>
      </c>
    </row>
    <row r="454" spans="1:4">
      <c r="A454" s="15">
        <v>454</v>
      </c>
      <c r="B454" s="3"/>
      <c r="C454" s="15" t="s">
        <v>131</v>
      </c>
      <c r="D454" s="9" t="s">
        <v>147</v>
      </c>
    </row>
    <row r="455" spans="1:4" s="1" customFormat="1">
      <c r="A455" s="15">
        <v>455</v>
      </c>
      <c r="B455" s="8"/>
      <c r="C455" s="16" t="s">
        <v>121</v>
      </c>
      <c r="D455" s="10" t="s">
        <v>147</v>
      </c>
    </row>
    <row r="456" spans="1:4">
      <c r="A456" s="15">
        <v>456</v>
      </c>
      <c r="B456" s="3"/>
      <c r="C456" s="15" t="s">
        <v>107</v>
      </c>
      <c r="D456" s="9" t="s">
        <v>148</v>
      </c>
    </row>
    <row r="457" spans="1:4">
      <c r="A457" s="15">
        <v>457</v>
      </c>
      <c r="B457" s="3"/>
      <c r="C457" s="15" t="s">
        <v>108</v>
      </c>
      <c r="D457" s="9" t="s">
        <v>148</v>
      </c>
    </row>
    <row r="458" spans="1:4">
      <c r="A458" s="15">
        <v>458</v>
      </c>
      <c r="B458" s="3"/>
      <c r="C458" s="15" t="s">
        <v>109</v>
      </c>
      <c r="D458" s="9" t="s">
        <v>148</v>
      </c>
    </row>
    <row r="459" spans="1:4">
      <c r="A459" s="15">
        <v>459</v>
      </c>
      <c r="B459" s="3"/>
      <c r="C459" s="15" t="s">
        <v>110</v>
      </c>
      <c r="D459" s="9" t="s">
        <v>148</v>
      </c>
    </row>
    <row r="460" spans="1:4">
      <c r="A460" s="15">
        <v>460</v>
      </c>
      <c r="B460" s="3"/>
      <c r="C460" s="15" t="s">
        <v>111</v>
      </c>
      <c r="D460" s="9" t="s">
        <v>148</v>
      </c>
    </row>
    <row r="461" spans="1:4">
      <c r="A461" s="15">
        <v>461</v>
      </c>
      <c r="B461" s="3"/>
      <c r="C461" s="15" t="s">
        <v>112</v>
      </c>
      <c r="D461" s="9" t="s">
        <v>148</v>
      </c>
    </row>
    <row r="462" spans="1:4">
      <c r="A462" s="15">
        <v>462</v>
      </c>
      <c r="B462" s="3"/>
      <c r="C462" s="15" t="s">
        <v>113</v>
      </c>
      <c r="D462" s="9" t="s">
        <v>148</v>
      </c>
    </row>
    <row r="463" spans="1:4">
      <c r="A463" s="15">
        <v>463</v>
      </c>
      <c r="B463" s="3"/>
      <c r="C463" s="15" t="s">
        <v>114</v>
      </c>
      <c r="D463" s="9" t="s">
        <v>148</v>
      </c>
    </row>
    <row r="464" spans="1:4">
      <c r="A464" s="15">
        <v>464</v>
      </c>
      <c r="B464" s="3"/>
      <c r="C464" s="15" t="s">
        <v>115</v>
      </c>
      <c r="D464" s="9" t="s">
        <v>148</v>
      </c>
    </row>
    <row r="465" spans="1:4">
      <c r="A465" s="15">
        <v>465</v>
      </c>
      <c r="B465" s="3"/>
      <c r="C465" s="15" t="s">
        <v>116</v>
      </c>
      <c r="D465" s="9" t="s">
        <v>148</v>
      </c>
    </row>
    <row r="466" spans="1:4">
      <c r="A466" s="15">
        <v>466</v>
      </c>
      <c r="B466" s="3"/>
      <c r="C466" s="15" t="s">
        <v>117</v>
      </c>
      <c r="D466" s="9" t="s">
        <v>148</v>
      </c>
    </row>
    <row r="467" spans="1:4">
      <c r="A467" s="15">
        <v>467</v>
      </c>
      <c r="B467" s="3"/>
      <c r="C467" s="15" t="s">
        <v>118</v>
      </c>
      <c r="D467" s="9" t="s">
        <v>148</v>
      </c>
    </row>
    <row r="468" spans="1:4">
      <c r="A468" s="15">
        <v>468</v>
      </c>
      <c r="B468" s="3"/>
      <c r="C468" s="15" t="s">
        <v>119</v>
      </c>
      <c r="D468" s="9" t="s">
        <v>148</v>
      </c>
    </row>
    <row r="469" spans="1:4">
      <c r="A469" s="15">
        <v>469</v>
      </c>
      <c r="B469" s="3"/>
      <c r="C469" s="15" t="s">
        <v>120</v>
      </c>
      <c r="D469" s="9" t="s">
        <v>148</v>
      </c>
    </row>
    <row r="470" spans="1:4">
      <c r="A470" s="15">
        <v>470</v>
      </c>
      <c r="B470" s="3"/>
      <c r="C470" s="15" t="s">
        <v>122</v>
      </c>
      <c r="D470" s="9" t="s">
        <v>148</v>
      </c>
    </row>
    <row r="471" spans="1:4">
      <c r="A471" s="15">
        <v>471</v>
      </c>
      <c r="B471" s="3"/>
      <c r="C471" s="15" t="s">
        <v>123</v>
      </c>
      <c r="D471" s="9" t="s">
        <v>148</v>
      </c>
    </row>
    <row r="472" spans="1:4">
      <c r="A472" s="15">
        <v>472</v>
      </c>
      <c r="B472" s="3"/>
      <c r="C472" s="15" t="s">
        <v>124</v>
      </c>
      <c r="D472" s="9" t="s">
        <v>148</v>
      </c>
    </row>
    <row r="473" spans="1:4">
      <c r="A473" s="15">
        <v>473</v>
      </c>
      <c r="B473" s="3"/>
      <c r="C473" s="15" t="s">
        <v>125</v>
      </c>
      <c r="D473" s="9" t="s">
        <v>148</v>
      </c>
    </row>
    <row r="474" spans="1:4">
      <c r="A474" s="15">
        <v>474</v>
      </c>
      <c r="B474" s="3"/>
      <c r="C474" s="15" t="s">
        <v>126</v>
      </c>
      <c r="D474" s="9" t="s">
        <v>148</v>
      </c>
    </row>
    <row r="475" spans="1:4">
      <c r="A475" s="15">
        <v>475</v>
      </c>
      <c r="B475" s="3"/>
      <c r="C475" s="15" t="s">
        <v>127</v>
      </c>
      <c r="D475" s="9" t="s">
        <v>148</v>
      </c>
    </row>
    <row r="476" spans="1:4">
      <c r="A476" s="15">
        <v>476</v>
      </c>
      <c r="B476" s="3"/>
      <c r="C476" s="15" t="s">
        <v>128</v>
      </c>
      <c r="D476" s="9" t="s">
        <v>148</v>
      </c>
    </row>
    <row r="477" spans="1:4">
      <c r="A477" s="15">
        <v>477</v>
      </c>
      <c r="B477" s="3"/>
      <c r="C477" s="15" t="s">
        <v>129</v>
      </c>
      <c r="D477" s="9" t="s">
        <v>148</v>
      </c>
    </row>
    <row r="478" spans="1:4">
      <c r="A478" s="15">
        <v>478</v>
      </c>
      <c r="B478" s="3"/>
      <c r="C478" s="15" t="s">
        <v>130</v>
      </c>
      <c r="D478" s="9" t="s">
        <v>148</v>
      </c>
    </row>
    <row r="479" spans="1:4">
      <c r="A479" s="15">
        <v>479</v>
      </c>
      <c r="B479" s="3"/>
      <c r="C479" s="15" t="s">
        <v>131</v>
      </c>
      <c r="D479" s="9" t="s">
        <v>148</v>
      </c>
    </row>
    <row r="480" spans="1:4" s="1" customFormat="1">
      <c r="A480" s="15">
        <v>480</v>
      </c>
      <c r="B480" s="8"/>
      <c r="C480" s="16" t="s">
        <v>121</v>
      </c>
      <c r="D480" s="10" t="s">
        <v>148</v>
      </c>
    </row>
    <row r="481" spans="1:4">
      <c r="A481" s="15">
        <v>481</v>
      </c>
      <c r="B481" s="3"/>
      <c r="C481" s="15" t="s">
        <v>107</v>
      </c>
      <c r="D481" s="9" t="s">
        <v>149</v>
      </c>
    </row>
    <row r="482" spans="1:4">
      <c r="A482" s="15">
        <v>482</v>
      </c>
      <c r="B482" s="3"/>
      <c r="C482" s="15" t="s">
        <v>108</v>
      </c>
      <c r="D482" s="9" t="s">
        <v>149</v>
      </c>
    </row>
    <row r="483" spans="1:4">
      <c r="A483" s="15">
        <v>483</v>
      </c>
      <c r="B483" s="3"/>
      <c r="C483" s="15" t="s">
        <v>109</v>
      </c>
      <c r="D483" s="9" t="s">
        <v>149</v>
      </c>
    </row>
    <row r="484" spans="1:4">
      <c r="A484" s="15">
        <v>484</v>
      </c>
      <c r="B484" s="3"/>
      <c r="C484" s="15" t="s">
        <v>110</v>
      </c>
      <c r="D484" s="9" t="s">
        <v>149</v>
      </c>
    </row>
    <row r="485" spans="1:4">
      <c r="A485" s="15">
        <v>485</v>
      </c>
      <c r="B485" s="3"/>
      <c r="C485" s="15" t="s">
        <v>111</v>
      </c>
      <c r="D485" s="9" t="s">
        <v>149</v>
      </c>
    </row>
    <row r="486" spans="1:4">
      <c r="A486" s="15">
        <v>486</v>
      </c>
      <c r="B486" s="3"/>
      <c r="C486" s="15" t="s">
        <v>112</v>
      </c>
      <c r="D486" s="9" t="s">
        <v>149</v>
      </c>
    </row>
    <row r="487" spans="1:4">
      <c r="A487" s="15">
        <v>487</v>
      </c>
      <c r="B487" s="3"/>
      <c r="C487" s="15" t="s">
        <v>113</v>
      </c>
      <c r="D487" s="9" t="s">
        <v>149</v>
      </c>
    </row>
    <row r="488" spans="1:4">
      <c r="A488" s="15">
        <v>488</v>
      </c>
      <c r="B488" s="3"/>
      <c r="C488" s="15" t="s">
        <v>114</v>
      </c>
      <c r="D488" s="9" t="s">
        <v>149</v>
      </c>
    </row>
    <row r="489" spans="1:4">
      <c r="A489" s="15">
        <v>489</v>
      </c>
      <c r="B489" s="3"/>
      <c r="C489" s="15" t="s">
        <v>115</v>
      </c>
      <c r="D489" s="9" t="s">
        <v>149</v>
      </c>
    </row>
    <row r="490" spans="1:4">
      <c r="A490" s="15">
        <v>490</v>
      </c>
      <c r="B490" s="3"/>
      <c r="C490" s="15" t="s">
        <v>116</v>
      </c>
      <c r="D490" s="9" t="s">
        <v>149</v>
      </c>
    </row>
    <row r="491" spans="1:4">
      <c r="A491" s="15">
        <v>491</v>
      </c>
      <c r="B491" s="3"/>
      <c r="C491" s="15" t="s">
        <v>117</v>
      </c>
      <c r="D491" s="9" t="s">
        <v>149</v>
      </c>
    </row>
    <row r="492" spans="1:4">
      <c r="A492" s="15">
        <v>492</v>
      </c>
      <c r="B492" s="3"/>
      <c r="C492" s="15" t="s">
        <v>118</v>
      </c>
      <c r="D492" s="9" t="s">
        <v>149</v>
      </c>
    </row>
    <row r="493" spans="1:4">
      <c r="A493" s="15">
        <v>493</v>
      </c>
      <c r="B493" s="3"/>
      <c r="C493" s="15" t="s">
        <v>119</v>
      </c>
      <c r="D493" s="9" t="s">
        <v>149</v>
      </c>
    </row>
    <row r="494" spans="1:4">
      <c r="A494" s="15">
        <v>494</v>
      </c>
      <c r="B494" s="3"/>
      <c r="C494" s="15" t="s">
        <v>120</v>
      </c>
      <c r="D494" s="9" t="s">
        <v>149</v>
      </c>
    </row>
    <row r="495" spans="1:4">
      <c r="A495" s="15">
        <v>495</v>
      </c>
      <c r="B495" s="3"/>
      <c r="C495" s="15" t="s">
        <v>122</v>
      </c>
      <c r="D495" s="9" t="s">
        <v>149</v>
      </c>
    </row>
    <row r="496" spans="1:4">
      <c r="A496" s="15">
        <v>496</v>
      </c>
      <c r="B496" s="3"/>
      <c r="C496" s="15" t="s">
        <v>123</v>
      </c>
      <c r="D496" s="9" t="s">
        <v>149</v>
      </c>
    </row>
    <row r="497" spans="1:4">
      <c r="A497" s="15">
        <v>497</v>
      </c>
      <c r="B497" s="3"/>
      <c r="C497" s="15" t="s">
        <v>124</v>
      </c>
      <c r="D497" s="9" t="s">
        <v>149</v>
      </c>
    </row>
    <row r="498" spans="1:4">
      <c r="A498" s="15">
        <v>498</v>
      </c>
      <c r="B498" s="3"/>
      <c r="C498" s="15" t="s">
        <v>125</v>
      </c>
      <c r="D498" s="9" t="s">
        <v>149</v>
      </c>
    </row>
    <row r="499" spans="1:4">
      <c r="A499" s="15">
        <v>499</v>
      </c>
      <c r="B499" s="3"/>
      <c r="C499" s="15" t="s">
        <v>126</v>
      </c>
      <c r="D499" s="9" t="s">
        <v>149</v>
      </c>
    </row>
    <row r="500" spans="1:4">
      <c r="A500" s="15">
        <v>500</v>
      </c>
      <c r="B500" s="3"/>
      <c r="C500" s="15" t="s">
        <v>127</v>
      </c>
      <c r="D500" s="9" t="s">
        <v>149</v>
      </c>
    </row>
    <row r="501" spans="1:4">
      <c r="A501" s="15">
        <v>501</v>
      </c>
      <c r="B501" s="3"/>
      <c r="C501" s="15" t="s">
        <v>128</v>
      </c>
      <c r="D501" s="9" t="s">
        <v>149</v>
      </c>
    </row>
    <row r="502" spans="1:4">
      <c r="A502" s="15">
        <v>502</v>
      </c>
      <c r="B502" s="3"/>
      <c r="C502" s="15" t="s">
        <v>129</v>
      </c>
      <c r="D502" s="9" t="s">
        <v>149</v>
      </c>
    </row>
    <row r="503" spans="1:4">
      <c r="A503" s="15">
        <v>503</v>
      </c>
      <c r="B503" s="3"/>
      <c r="C503" s="15" t="s">
        <v>130</v>
      </c>
      <c r="D503" s="9" t="s">
        <v>149</v>
      </c>
    </row>
    <row r="504" spans="1:4">
      <c r="A504" s="15">
        <v>504</v>
      </c>
      <c r="B504" s="3"/>
      <c r="C504" s="15" t="s">
        <v>131</v>
      </c>
      <c r="D504" s="9" t="s">
        <v>149</v>
      </c>
    </row>
    <row r="505" spans="1:4" s="1" customFormat="1">
      <c r="A505" s="15">
        <v>505</v>
      </c>
      <c r="B505" s="8"/>
      <c r="C505" s="16" t="s">
        <v>121</v>
      </c>
      <c r="D505" s="10" t="s">
        <v>149</v>
      </c>
    </row>
    <row r="506" spans="1:4">
      <c r="A506" s="15">
        <v>506</v>
      </c>
      <c r="B506" s="3"/>
      <c r="C506" s="15" t="s">
        <v>107</v>
      </c>
      <c r="D506" s="9" t="s">
        <v>150</v>
      </c>
    </row>
    <row r="507" spans="1:4">
      <c r="A507" s="15">
        <v>507</v>
      </c>
      <c r="B507" s="3"/>
      <c r="C507" s="15" t="s">
        <v>108</v>
      </c>
      <c r="D507" s="9" t="s">
        <v>150</v>
      </c>
    </row>
    <row r="508" spans="1:4">
      <c r="A508" s="15">
        <v>508</v>
      </c>
      <c r="B508" s="3"/>
      <c r="C508" s="15" t="s">
        <v>109</v>
      </c>
      <c r="D508" s="9" t="s">
        <v>150</v>
      </c>
    </row>
    <row r="509" spans="1:4">
      <c r="A509" s="15">
        <v>509</v>
      </c>
      <c r="B509" s="3"/>
      <c r="C509" s="15" t="s">
        <v>110</v>
      </c>
      <c r="D509" s="9" t="s">
        <v>150</v>
      </c>
    </row>
    <row r="510" spans="1:4">
      <c r="A510" s="15">
        <v>510</v>
      </c>
      <c r="B510" s="3"/>
      <c r="C510" s="15" t="s">
        <v>111</v>
      </c>
      <c r="D510" s="9" t="s">
        <v>150</v>
      </c>
    </row>
    <row r="511" spans="1:4">
      <c r="A511" s="15">
        <v>511</v>
      </c>
      <c r="B511" s="3"/>
      <c r="C511" s="15" t="s">
        <v>112</v>
      </c>
      <c r="D511" s="9" t="s">
        <v>150</v>
      </c>
    </row>
    <row r="512" spans="1:4">
      <c r="A512" s="15">
        <v>512</v>
      </c>
      <c r="B512" s="3"/>
      <c r="C512" s="15" t="s">
        <v>113</v>
      </c>
      <c r="D512" s="9" t="s">
        <v>150</v>
      </c>
    </row>
    <row r="513" spans="1:4">
      <c r="A513" s="15">
        <v>513</v>
      </c>
      <c r="B513" s="3"/>
      <c r="C513" s="15" t="s">
        <v>114</v>
      </c>
      <c r="D513" s="9" t="s">
        <v>150</v>
      </c>
    </row>
    <row r="514" spans="1:4">
      <c r="A514" s="15">
        <v>514</v>
      </c>
      <c r="B514" s="3"/>
      <c r="C514" s="15" t="s">
        <v>115</v>
      </c>
      <c r="D514" s="9" t="s">
        <v>150</v>
      </c>
    </row>
    <row r="515" spans="1:4">
      <c r="A515" s="15">
        <v>515</v>
      </c>
      <c r="B515" s="3"/>
      <c r="C515" s="15" t="s">
        <v>116</v>
      </c>
      <c r="D515" s="9" t="s">
        <v>150</v>
      </c>
    </row>
    <row r="516" spans="1:4">
      <c r="A516" s="15">
        <v>516</v>
      </c>
      <c r="B516" s="3"/>
      <c r="C516" s="15" t="s">
        <v>117</v>
      </c>
      <c r="D516" s="9" t="s">
        <v>150</v>
      </c>
    </row>
    <row r="517" spans="1:4">
      <c r="A517" s="15">
        <v>517</v>
      </c>
      <c r="B517" s="3"/>
      <c r="C517" s="15" t="s">
        <v>118</v>
      </c>
      <c r="D517" s="9" t="s">
        <v>150</v>
      </c>
    </row>
    <row r="518" spans="1:4">
      <c r="A518" s="15">
        <v>518</v>
      </c>
      <c r="B518" s="3"/>
      <c r="C518" s="15" t="s">
        <v>119</v>
      </c>
      <c r="D518" s="9" t="s">
        <v>150</v>
      </c>
    </row>
    <row r="519" spans="1:4">
      <c r="A519" s="15">
        <v>519</v>
      </c>
      <c r="B519" s="3"/>
      <c r="C519" s="15" t="s">
        <v>120</v>
      </c>
      <c r="D519" s="9" t="s">
        <v>150</v>
      </c>
    </row>
    <row r="520" spans="1:4">
      <c r="A520" s="15">
        <v>520</v>
      </c>
      <c r="B520" s="3"/>
      <c r="C520" s="15" t="s">
        <v>122</v>
      </c>
      <c r="D520" s="9" t="s">
        <v>150</v>
      </c>
    </row>
    <row r="521" spans="1:4">
      <c r="A521" s="15">
        <v>521</v>
      </c>
      <c r="B521" s="3"/>
      <c r="C521" s="15" t="s">
        <v>123</v>
      </c>
      <c r="D521" s="9" t="s">
        <v>150</v>
      </c>
    </row>
    <row r="522" spans="1:4">
      <c r="A522" s="15">
        <v>522</v>
      </c>
      <c r="B522" s="3"/>
      <c r="C522" s="15" t="s">
        <v>124</v>
      </c>
      <c r="D522" s="9" t="s">
        <v>150</v>
      </c>
    </row>
    <row r="523" spans="1:4">
      <c r="A523" s="15">
        <v>523</v>
      </c>
      <c r="B523" s="3"/>
      <c r="C523" s="15" t="s">
        <v>125</v>
      </c>
      <c r="D523" s="9" t="s">
        <v>150</v>
      </c>
    </row>
    <row r="524" spans="1:4">
      <c r="A524" s="15">
        <v>524</v>
      </c>
      <c r="B524" s="3"/>
      <c r="C524" s="15" t="s">
        <v>126</v>
      </c>
      <c r="D524" s="9" t="s">
        <v>150</v>
      </c>
    </row>
    <row r="525" spans="1:4">
      <c r="A525" s="15">
        <v>525</v>
      </c>
      <c r="B525" s="3"/>
      <c r="C525" s="15" t="s">
        <v>127</v>
      </c>
      <c r="D525" s="9" t="s">
        <v>150</v>
      </c>
    </row>
    <row r="526" spans="1:4">
      <c r="A526" s="15">
        <v>526</v>
      </c>
      <c r="B526" s="3"/>
      <c r="C526" s="15" t="s">
        <v>128</v>
      </c>
      <c r="D526" s="9" t="s">
        <v>150</v>
      </c>
    </row>
    <row r="527" spans="1:4">
      <c r="A527" s="15">
        <v>527</v>
      </c>
      <c r="B527" s="3"/>
      <c r="C527" s="15" t="s">
        <v>129</v>
      </c>
      <c r="D527" s="9" t="s">
        <v>150</v>
      </c>
    </row>
    <row r="528" spans="1:4">
      <c r="A528" s="15">
        <v>528</v>
      </c>
      <c r="B528" s="3"/>
      <c r="C528" s="15" t="s">
        <v>130</v>
      </c>
      <c r="D528" s="9" t="s">
        <v>150</v>
      </c>
    </row>
    <row r="529" spans="1:4">
      <c r="A529" s="15">
        <v>529</v>
      </c>
      <c r="B529" s="3"/>
      <c r="C529" s="15" t="s">
        <v>131</v>
      </c>
      <c r="D529" s="9" t="s">
        <v>150</v>
      </c>
    </row>
    <row r="530" spans="1:4">
      <c r="A530" s="15">
        <v>530</v>
      </c>
      <c r="B530" s="3"/>
      <c r="C530" s="15" t="s">
        <v>121</v>
      </c>
      <c r="D530" s="9" t="s">
        <v>150</v>
      </c>
    </row>
    <row r="531" spans="1:4">
      <c r="A531" s="15">
        <v>531</v>
      </c>
      <c r="B531" s="3"/>
      <c r="C531" s="17" t="s">
        <v>107</v>
      </c>
      <c r="D531" s="9" t="s">
        <v>151</v>
      </c>
    </row>
    <row r="532" spans="1:4">
      <c r="A532" s="15">
        <v>532</v>
      </c>
      <c r="B532" s="3"/>
      <c r="C532" s="15" t="s">
        <v>108</v>
      </c>
      <c r="D532" s="9" t="s">
        <v>151</v>
      </c>
    </row>
    <row r="533" spans="1:4">
      <c r="A533" s="15">
        <v>533</v>
      </c>
      <c r="B533" s="3"/>
      <c r="C533" s="15" t="s">
        <v>109</v>
      </c>
      <c r="D533" s="9" t="s">
        <v>151</v>
      </c>
    </row>
    <row r="534" spans="1:4">
      <c r="A534" s="15">
        <v>534</v>
      </c>
      <c r="B534" s="3"/>
      <c r="C534" s="15" t="s">
        <v>110</v>
      </c>
      <c r="D534" s="9" t="s">
        <v>151</v>
      </c>
    </row>
    <row r="535" spans="1:4">
      <c r="A535" s="15">
        <v>535</v>
      </c>
      <c r="B535" s="3"/>
      <c r="C535" s="15" t="s">
        <v>111</v>
      </c>
      <c r="D535" s="9" t="s">
        <v>151</v>
      </c>
    </row>
    <row r="536" spans="1:4">
      <c r="A536" s="15">
        <v>536</v>
      </c>
      <c r="B536" s="3"/>
      <c r="C536" s="15" t="s">
        <v>112</v>
      </c>
      <c r="D536" s="9" t="s">
        <v>151</v>
      </c>
    </row>
    <row r="537" spans="1:4">
      <c r="A537" s="15">
        <v>537</v>
      </c>
      <c r="B537" s="3"/>
      <c r="C537" s="15" t="s">
        <v>113</v>
      </c>
      <c r="D537" s="9" t="s">
        <v>151</v>
      </c>
    </row>
    <row r="538" spans="1:4">
      <c r="A538" s="15">
        <v>538</v>
      </c>
      <c r="B538" s="3"/>
      <c r="C538" s="15" t="s">
        <v>114</v>
      </c>
      <c r="D538" s="9" t="s">
        <v>151</v>
      </c>
    </row>
    <row r="539" spans="1:4">
      <c r="A539" s="15">
        <v>539</v>
      </c>
      <c r="B539" s="3"/>
      <c r="C539" s="15" t="s">
        <v>115</v>
      </c>
      <c r="D539" s="9" t="s">
        <v>151</v>
      </c>
    </row>
    <row r="540" spans="1:4">
      <c r="A540" s="15">
        <v>540</v>
      </c>
      <c r="B540" s="3"/>
      <c r="C540" s="15" t="s">
        <v>116</v>
      </c>
      <c r="D540" s="9" t="s">
        <v>151</v>
      </c>
    </row>
    <row r="541" spans="1:4">
      <c r="A541" s="15">
        <v>541</v>
      </c>
      <c r="B541" s="3"/>
      <c r="C541" s="15" t="s">
        <v>117</v>
      </c>
      <c r="D541" s="9" t="s">
        <v>151</v>
      </c>
    </row>
    <row r="542" spans="1:4">
      <c r="A542" s="15">
        <v>542</v>
      </c>
      <c r="B542" s="3"/>
      <c r="C542" s="15" t="s">
        <v>118</v>
      </c>
      <c r="D542" s="9" t="s">
        <v>151</v>
      </c>
    </row>
    <row r="543" spans="1:4">
      <c r="A543" s="15">
        <v>543</v>
      </c>
      <c r="B543" s="3"/>
      <c r="C543" s="15" t="s">
        <v>119</v>
      </c>
      <c r="D543" s="9" t="s">
        <v>151</v>
      </c>
    </row>
    <row r="544" spans="1:4">
      <c r="A544" s="15">
        <v>544</v>
      </c>
      <c r="B544" s="3"/>
      <c r="C544" s="15" t="s">
        <v>120</v>
      </c>
      <c r="D544" s="9" t="s">
        <v>151</v>
      </c>
    </row>
    <row r="545" spans="1:4">
      <c r="A545" s="15">
        <v>545</v>
      </c>
      <c r="B545" s="3"/>
      <c r="C545" s="15" t="s">
        <v>122</v>
      </c>
      <c r="D545" s="9" t="s">
        <v>151</v>
      </c>
    </row>
    <row r="546" spans="1:4">
      <c r="A546" s="15">
        <v>546</v>
      </c>
      <c r="B546" s="3"/>
      <c r="C546" s="15" t="s">
        <v>123</v>
      </c>
      <c r="D546" s="9" t="s">
        <v>151</v>
      </c>
    </row>
    <row r="547" spans="1:4">
      <c r="A547" s="15">
        <v>547</v>
      </c>
      <c r="B547" s="3"/>
      <c r="C547" s="15" t="s">
        <v>124</v>
      </c>
      <c r="D547" s="9" t="s">
        <v>151</v>
      </c>
    </row>
    <row r="548" spans="1:4">
      <c r="A548" s="15">
        <v>548</v>
      </c>
      <c r="B548" s="3"/>
      <c r="C548" s="15" t="s">
        <v>125</v>
      </c>
      <c r="D548" s="9" t="s">
        <v>151</v>
      </c>
    </row>
    <row r="549" spans="1:4">
      <c r="A549" s="15">
        <v>549</v>
      </c>
      <c r="B549" s="3"/>
      <c r="C549" s="15" t="s">
        <v>126</v>
      </c>
      <c r="D549" s="9" t="s">
        <v>151</v>
      </c>
    </row>
    <row r="550" spans="1:4">
      <c r="A550" s="15">
        <v>550</v>
      </c>
      <c r="B550" s="3"/>
      <c r="C550" s="15" t="s">
        <v>127</v>
      </c>
      <c r="D550" s="9" t="s">
        <v>151</v>
      </c>
    </row>
    <row r="551" spans="1:4">
      <c r="A551" s="15">
        <v>551</v>
      </c>
      <c r="B551" s="3"/>
      <c r="C551" s="15" t="s">
        <v>128</v>
      </c>
      <c r="D551" s="9" t="s">
        <v>151</v>
      </c>
    </row>
    <row r="552" spans="1:4">
      <c r="A552" s="15">
        <v>552</v>
      </c>
      <c r="B552" s="3"/>
      <c r="C552" s="15" t="s">
        <v>129</v>
      </c>
      <c r="D552" s="9" t="s">
        <v>151</v>
      </c>
    </row>
    <row r="553" spans="1:4">
      <c r="A553" s="15">
        <v>553</v>
      </c>
      <c r="B553" s="3"/>
      <c r="C553" s="15" t="s">
        <v>130</v>
      </c>
      <c r="D553" s="9" t="s">
        <v>151</v>
      </c>
    </row>
    <row r="554" spans="1:4">
      <c r="A554" s="15">
        <v>554</v>
      </c>
      <c r="B554" s="3"/>
      <c r="C554" s="15" t="s">
        <v>131</v>
      </c>
      <c r="D554" s="9" t="s">
        <v>151</v>
      </c>
    </row>
    <row r="555" spans="1:4">
      <c r="A555" s="15">
        <v>555</v>
      </c>
      <c r="B555" s="3"/>
      <c r="C555" s="15" t="s">
        <v>121</v>
      </c>
      <c r="D555" s="9" t="s">
        <v>151</v>
      </c>
    </row>
    <row r="556" spans="1:4">
      <c r="A556" s="15">
        <v>556</v>
      </c>
      <c r="B556" s="3"/>
      <c r="C556" s="17" t="s">
        <v>107</v>
      </c>
      <c r="D556" s="9" t="s">
        <v>152</v>
      </c>
    </row>
    <row r="557" spans="1:4">
      <c r="A557" s="15">
        <v>557</v>
      </c>
      <c r="B557" s="3"/>
      <c r="C557" s="15" t="s">
        <v>108</v>
      </c>
      <c r="D557" s="9" t="s">
        <v>152</v>
      </c>
    </row>
    <row r="558" spans="1:4">
      <c r="A558" s="15">
        <v>558</v>
      </c>
      <c r="B558" s="3"/>
      <c r="C558" s="15" t="s">
        <v>109</v>
      </c>
      <c r="D558" s="9" t="s">
        <v>152</v>
      </c>
    </row>
    <row r="559" spans="1:4">
      <c r="A559" s="15">
        <v>559</v>
      </c>
      <c r="B559" s="3"/>
      <c r="C559" s="15" t="s">
        <v>110</v>
      </c>
      <c r="D559" s="9" t="s">
        <v>152</v>
      </c>
    </row>
    <row r="560" spans="1:4">
      <c r="A560" s="15">
        <v>560</v>
      </c>
      <c r="B560" s="3"/>
      <c r="C560" s="15" t="s">
        <v>111</v>
      </c>
      <c r="D560" s="9" t="s">
        <v>152</v>
      </c>
    </row>
    <row r="561" spans="1:4">
      <c r="A561" s="15">
        <v>561</v>
      </c>
      <c r="B561" s="3"/>
      <c r="C561" s="15" t="s">
        <v>112</v>
      </c>
      <c r="D561" s="9" t="s">
        <v>152</v>
      </c>
    </row>
    <row r="562" spans="1:4">
      <c r="A562" s="15">
        <v>562</v>
      </c>
      <c r="B562" s="3"/>
      <c r="C562" s="15" t="s">
        <v>113</v>
      </c>
      <c r="D562" s="9" t="s">
        <v>152</v>
      </c>
    </row>
    <row r="563" spans="1:4">
      <c r="A563" s="15">
        <v>563</v>
      </c>
      <c r="B563" s="3"/>
      <c r="C563" s="15" t="s">
        <v>114</v>
      </c>
      <c r="D563" s="9" t="s">
        <v>152</v>
      </c>
    </row>
    <row r="564" spans="1:4">
      <c r="A564" s="15">
        <v>564</v>
      </c>
      <c r="B564" s="3"/>
      <c r="C564" s="15" t="s">
        <v>115</v>
      </c>
      <c r="D564" s="9" t="s">
        <v>152</v>
      </c>
    </row>
    <row r="565" spans="1:4">
      <c r="A565" s="15">
        <v>565</v>
      </c>
      <c r="B565" s="3"/>
      <c r="C565" s="15" t="s">
        <v>116</v>
      </c>
      <c r="D565" s="9" t="s">
        <v>152</v>
      </c>
    </row>
    <row r="566" spans="1:4">
      <c r="A566" s="15">
        <v>566</v>
      </c>
      <c r="B566" s="3"/>
      <c r="C566" s="15" t="s">
        <v>117</v>
      </c>
      <c r="D566" s="9" t="s">
        <v>152</v>
      </c>
    </row>
    <row r="567" spans="1:4">
      <c r="A567" s="15">
        <v>567</v>
      </c>
      <c r="B567" s="3"/>
      <c r="C567" s="15" t="s">
        <v>118</v>
      </c>
      <c r="D567" s="9" t="s">
        <v>152</v>
      </c>
    </row>
    <row r="568" spans="1:4">
      <c r="A568" s="15">
        <v>568</v>
      </c>
      <c r="B568" s="3"/>
      <c r="C568" s="15" t="s">
        <v>119</v>
      </c>
      <c r="D568" s="9" t="s">
        <v>152</v>
      </c>
    </row>
    <row r="569" spans="1:4">
      <c r="A569" s="15">
        <v>569</v>
      </c>
      <c r="B569" s="3"/>
      <c r="C569" s="15" t="s">
        <v>120</v>
      </c>
      <c r="D569" s="9" t="s">
        <v>152</v>
      </c>
    </row>
    <row r="570" spans="1:4">
      <c r="A570" s="15">
        <v>570</v>
      </c>
      <c r="B570" s="3"/>
      <c r="C570" s="15" t="s">
        <v>122</v>
      </c>
      <c r="D570" s="9" t="s">
        <v>152</v>
      </c>
    </row>
    <row r="571" spans="1:4">
      <c r="A571" s="15">
        <v>571</v>
      </c>
      <c r="B571" s="3"/>
      <c r="C571" s="15" t="s">
        <v>123</v>
      </c>
      <c r="D571" s="9" t="s">
        <v>152</v>
      </c>
    </row>
    <row r="572" spans="1:4">
      <c r="A572" s="15">
        <v>572</v>
      </c>
      <c r="B572" s="3"/>
      <c r="C572" s="15" t="s">
        <v>124</v>
      </c>
      <c r="D572" s="9" t="s">
        <v>152</v>
      </c>
    </row>
    <row r="573" spans="1:4">
      <c r="A573" s="15">
        <v>573</v>
      </c>
      <c r="B573" s="3"/>
      <c r="C573" s="15" t="s">
        <v>125</v>
      </c>
      <c r="D573" s="9" t="s">
        <v>152</v>
      </c>
    </row>
    <row r="574" spans="1:4">
      <c r="A574" s="15">
        <v>574</v>
      </c>
      <c r="B574" s="3"/>
      <c r="C574" s="15" t="s">
        <v>126</v>
      </c>
      <c r="D574" s="9" t="s">
        <v>152</v>
      </c>
    </row>
    <row r="575" spans="1:4">
      <c r="A575" s="15">
        <v>575</v>
      </c>
      <c r="B575" s="3"/>
      <c r="C575" s="15" t="s">
        <v>127</v>
      </c>
      <c r="D575" s="9" t="s">
        <v>152</v>
      </c>
    </row>
    <row r="576" spans="1:4">
      <c r="A576" s="15">
        <v>576</v>
      </c>
      <c r="B576" s="3"/>
      <c r="C576" s="15" t="s">
        <v>128</v>
      </c>
      <c r="D576" s="9" t="s">
        <v>152</v>
      </c>
    </row>
    <row r="577" spans="1:4">
      <c r="A577" s="15">
        <v>577</v>
      </c>
      <c r="B577" s="3"/>
      <c r="C577" s="15" t="s">
        <v>129</v>
      </c>
      <c r="D577" s="9" t="s">
        <v>152</v>
      </c>
    </row>
    <row r="578" spans="1:4">
      <c r="A578" s="15">
        <v>578</v>
      </c>
      <c r="B578" s="3"/>
      <c r="C578" s="15" t="s">
        <v>130</v>
      </c>
      <c r="D578" s="9" t="s">
        <v>152</v>
      </c>
    </row>
    <row r="579" spans="1:4">
      <c r="A579" s="15">
        <v>579</v>
      </c>
      <c r="B579" s="3"/>
      <c r="C579" s="15" t="s">
        <v>131</v>
      </c>
      <c r="D579" s="9" t="s">
        <v>152</v>
      </c>
    </row>
    <row r="580" spans="1:4">
      <c r="A580" s="15">
        <v>580</v>
      </c>
      <c r="B580" s="3"/>
      <c r="C580" s="15" t="s">
        <v>121</v>
      </c>
      <c r="D580" s="9" t="s">
        <v>152</v>
      </c>
    </row>
    <row r="581" spans="1:4">
      <c r="A581" s="15">
        <v>581</v>
      </c>
      <c r="B581" s="3"/>
      <c r="C581" s="17" t="s">
        <v>107</v>
      </c>
      <c r="D581" s="9" t="s">
        <v>153</v>
      </c>
    </row>
    <row r="582" spans="1:4">
      <c r="A582" s="15">
        <v>582</v>
      </c>
      <c r="B582" s="3"/>
      <c r="C582" s="15" t="s">
        <v>108</v>
      </c>
      <c r="D582" s="9" t="s">
        <v>153</v>
      </c>
    </row>
    <row r="583" spans="1:4">
      <c r="A583" s="15">
        <v>583</v>
      </c>
      <c r="B583" s="3"/>
      <c r="C583" s="15" t="s">
        <v>109</v>
      </c>
      <c r="D583" s="9" t="s">
        <v>153</v>
      </c>
    </row>
    <row r="584" spans="1:4">
      <c r="A584" s="15">
        <v>584</v>
      </c>
      <c r="B584" s="3"/>
      <c r="C584" s="15" t="s">
        <v>110</v>
      </c>
      <c r="D584" s="9" t="s">
        <v>153</v>
      </c>
    </row>
    <row r="585" spans="1:4">
      <c r="A585" s="15">
        <v>585</v>
      </c>
      <c r="B585" s="3"/>
      <c r="C585" s="15" t="s">
        <v>111</v>
      </c>
      <c r="D585" s="9" t="s">
        <v>153</v>
      </c>
    </row>
    <row r="586" spans="1:4">
      <c r="A586" s="15">
        <v>586</v>
      </c>
      <c r="B586" s="3"/>
      <c r="C586" s="15" t="s">
        <v>112</v>
      </c>
      <c r="D586" s="9" t="s">
        <v>153</v>
      </c>
    </row>
    <row r="587" spans="1:4">
      <c r="A587" s="15">
        <v>587</v>
      </c>
      <c r="B587" s="3"/>
      <c r="C587" s="15" t="s">
        <v>113</v>
      </c>
      <c r="D587" s="9" t="s">
        <v>153</v>
      </c>
    </row>
    <row r="588" spans="1:4">
      <c r="A588" s="15">
        <v>588</v>
      </c>
      <c r="B588" s="3"/>
      <c r="C588" s="15" t="s">
        <v>114</v>
      </c>
      <c r="D588" s="9" t="s">
        <v>153</v>
      </c>
    </row>
    <row r="589" spans="1:4">
      <c r="A589" s="15">
        <v>589</v>
      </c>
      <c r="B589" s="3"/>
      <c r="C589" s="15" t="s">
        <v>115</v>
      </c>
      <c r="D589" s="9" t="s">
        <v>153</v>
      </c>
    </row>
    <row r="590" spans="1:4">
      <c r="A590" s="15">
        <v>590</v>
      </c>
      <c r="B590" s="3"/>
      <c r="C590" s="15" t="s">
        <v>116</v>
      </c>
      <c r="D590" s="9" t="s">
        <v>153</v>
      </c>
    </row>
    <row r="591" spans="1:4">
      <c r="A591" s="15">
        <v>591</v>
      </c>
      <c r="B591" s="3"/>
      <c r="C591" s="15" t="s">
        <v>117</v>
      </c>
      <c r="D591" s="9" t="s">
        <v>153</v>
      </c>
    </row>
    <row r="592" spans="1:4">
      <c r="A592" s="15">
        <v>592</v>
      </c>
      <c r="B592" s="3"/>
      <c r="C592" s="15" t="s">
        <v>118</v>
      </c>
      <c r="D592" s="9" t="s">
        <v>153</v>
      </c>
    </row>
    <row r="593" spans="1:4">
      <c r="A593" s="15">
        <v>593</v>
      </c>
      <c r="B593" s="3"/>
      <c r="C593" s="15" t="s">
        <v>119</v>
      </c>
      <c r="D593" s="9" t="s">
        <v>153</v>
      </c>
    </row>
    <row r="594" spans="1:4">
      <c r="A594" s="15">
        <v>594</v>
      </c>
      <c r="B594" s="3"/>
      <c r="C594" s="15" t="s">
        <v>120</v>
      </c>
      <c r="D594" s="9" t="s">
        <v>153</v>
      </c>
    </row>
    <row r="595" spans="1:4">
      <c r="A595" s="15">
        <v>595</v>
      </c>
      <c r="B595" s="3"/>
      <c r="C595" s="15" t="s">
        <v>122</v>
      </c>
      <c r="D595" s="9" t="s">
        <v>153</v>
      </c>
    </row>
    <row r="596" spans="1:4">
      <c r="A596" s="15">
        <v>596</v>
      </c>
      <c r="B596" s="3"/>
      <c r="C596" s="15" t="s">
        <v>123</v>
      </c>
      <c r="D596" s="9" t="s">
        <v>153</v>
      </c>
    </row>
    <row r="597" spans="1:4">
      <c r="A597" s="15">
        <v>597</v>
      </c>
      <c r="B597" s="3"/>
      <c r="C597" s="15" t="s">
        <v>124</v>
      </c>
      <c r="D597" s="9" t="s">
        <v>153</v>
      </c>
    </row>
    <row r="598" spans="1:4">
      <c r="A598" s="15">
        <v>598</v>
      </c>
      <c r="B598" s="3"/>
      <c r="C598" s="15" t="s">
        <v>125</v>
      </c>
      <c r="D598" s="9" t="s">
        <v>153</v>
      </c>
    </row>
    <row r="599" spans="1:4">
      <c r="A599" s="15">
        <v>599</v>
      </c>
      <c r="B599" s="3"/>
      <c r="C599" s="15" t="s">
        <v>126</v>
      </c>
      <c r="D599" s="9" t="s">
        <v>153</v>
      </c>
    </row>
    <row r="600" spans="1:4">
      <c r="A600" s="15">
        <v>600</v>
      </c>
      <c r="B600" s="3"/>
      <c r="C600" s="15" t="s">
        <v>127</v>
      </c>
      <c r="D600" s="9" t="s">
        <v>153</v>
      </c>
    </row>
    <row r="601" spans="1:4">
      <c r="A601" s="15">
        <v>601</v>
      </c>
      <c r="B601" s="3"/>
      <c r="C601" s="15" t="s">
        <v>128</v>
      </c>
      <c r="D601" s="9" t="s">
        <v>153</v>
      </c>
    </row>
    <row r="602" spans="1:4">
      <c r="A602" s="15">
        <v>602</v>
      </c>
      <c r="B602" s="3"/>
      <c r="C602" s="15" t="s">
        <v>129</v>
      </c>
      <c r="D602" s="9" t="s">
        <v>153</v>
      </c>
    </row>
    <row r="603" spans="1:4">
      <c r="A603" s="15">
        <v>603</v>
      </c>
      <c r="B603" s="3"/>
      <c r="C603" s="15" t="s">
        <v>130</v>
      </c>
      <c r="D603" s="9" t="s">
        <v>153</v>
      </c>
    </row>
    <row r="604" spans="1:4">
      <c r="A604" s="15">
        <v>604</v>
      </c>
      <c r="B604" s="3"/>
      <c r="C604" s="15" t="s">
        <v>131</v>
      </c>
      <c r="D604" s="9" t="s">
        <v>153</v>
      </c>
    </row>
    <row r="605" spans="1:4">
      <c r="A605" s="15">
        <v>605</v>
      </c>
      <c r="B605" s="3"/>
      <c r="C605" s="15" t="s">
        <v>121</v>
      </c>
      <c r="D605" s="9" t="s">
        <v>153</v>
      </c>
    </row>
    <row r="606" spans="1:4">
      <c r="A606" s="15">
        <v>606</v>
      </c>
      <c r="B606" s="3"/>
      <c r="C606" s="17" t="s">
        <v>107</v>
      </c>
      <c r="D606" s="9" t="s">
        <v>154</v>
      </c>
    </row>
    <row r="607" spans="1:4">
      <c r="A607" s="15">
        <v>607</v>
      </c>
      <c r="B607" s="3"/>
      <c r="C607" s="15" t="s">
        <v>108</v>
      </c>
      <c r="D607" s="9" t="s">
        <v>154</v>
      </c>
    </row>
    <row r="608" spans="1:4">
      <c r="A608" s="15">
        <v>608</v>
      </c>
      <c r="B608" s="3"/>
      <c r="C608" s="15" t="s">
        <v>109</v>
      </c>
      <c r="D608" s="9" t="s">
        <v>154</v>
      </c>
    </row>
    <row r="609" spans="1:4">
      <c r="A609" s="15">
        <v>609</v>
      </c>
      <c r="B609" s="3"/>
      <c r="C609" s="15" t="s">
        <v>110</v>
      </c>
      <c r="D609" s="9" t="s">
        <v>154</v>
      </c>
    </row>
    <row r="610" spans="1:4">
      <c r="A610" s="15">
        <v>610</v>
      </c>
      <c r="B610" s="3"/>
      <c r="C610" s="15" t="s">
        <v>111</v>
      </c>
      <c r="D610" s="9" t="s">
        <v>154</v>
      </c>
    </row>
    <row r="611" spans="1:4">
      <c r="A611" s="15">
        <v>611</v>
      </c>
      <c r="B611" s="3"/>
      <c r="C611" s="15" t="s">
        <v>112</v>
      </c>
      <c r="D611" s="9" t="s">
        <v>154</v>
      </c>
    </row>
    <row r="612" spans="1:4">
      <c r="A612" s="15">
        <v>612</v>
      </c>
      <c r="B612" s="3"/>
      <c r="C612" s="15" t="s">
        <v>113</v>
      </c>
      <c r="D612" s="9" t="s">
        <v>154</v>
      </c>
    </row>
    <row r="613" spans="1:4">
      <c r="A613" s="15">
        <v>613</v>
      </c>
      <c r="B613" s="3"/>
      <c r="C613" s="15" t="s">
        <v>114</v>
      </c>
      <c r="D613" s="9" t="s">
        <v>154</v>
      </c>
    </row>
    <row r="614" spans="1:4">
      <c r="A614" s="15">
        <v>614</v>
      </c>
      <c r="B614" s="3"/>
      <c r="C614" s="15" t="s">
        <v>115</v>
      </c>
      <c r="D614" s="9" t="s">
        <v>154</v>
      </c>
    </row>
    <row r="615" spans="1:4">
      <c r="A615" s="15">
        <v>615</v>
      </c>
      <c r="B615" s="3"/>
      <c r="C615" s="15" t="s">
        <v>116</v>
      </c>
      <c r="D615" s="9" t="s">
        <v>154</v>
      </c>
    </row>
    <row r="616" spans="1:4">
      <c r="A616" s="15">
        <v>616</v>
      </c>
      <c r="B616" s="3"/>
      <c r="C616" s="15" t="s">
        <v>117</v>
      </c>
      <c r="D616" s="9" t="s">
        <v>154</v>
      </c>
    </row>
    <row r="617" spans="1:4">
      <c r="A617" s="15">
        <v>617</v>
      </c>
      <c r="B617" s="3"/>
      <c r="C617" s="15" t="s">
        <v>118</v>
      </c>
      <c r="D617" s="9" t="s">
        <v>154</v>
      </c>
    </row>
    <row r="618" spans="1:4">
      <c r="A618" s="15">
        <v>618</v>
      </c>
      <c r="B618" s="3"/>
      <c r="C618" s="15" t="s">
        <v>119</v>
      </c>
      <c r="D618" s="9" t="s">
        <v>154</v>
      </c>
    </row>
    <row r="619" spans="1:4">
      <c r="A619" s="15">
        <v>619</v>
      </c>
      <c r="B619" s="3"/>
      <c r="C619" s="15" t="s">
        <v>120</v>
      </c>
      <c r="D619" s="9" t="s">
        <v>154</v>
      </c>
    </row>
    <row r="620" spans="1:4">
      <c r="A620" s="15">
        <v>620</v>
      </c>
      <c r="B620" s="3"/>
      <c r="C620" s="15" t="s">
        <v>122</v>
      </c>
      <c r="D620" s="9" t="s">
        <v>154</v>
      </c>
    </row>
    <row r="621" spans="1:4">
      <c r="A621" s="15">
        <v>621</v>
      </c>
      <c r="B621" s="3"/>
      <c r="C621" s="15" t="s">
        <v>123</v>
      </c>
      <c r="D621" s="9" t="s">
        <v>154</v>
      </c>
    </row>
    <row r="622" spans="1:4">
      <c r="A622" s="15">
        <v>622</v>
      </c>
      <c r="B622" s="3"/>
      <c r="C622" s="15" t="s">
        <v>124</v>
      </c>
      <c r="D622" s="9" t="s">
        <v>154</v>
      </c>
    </row>
    <row r="623" spans="1:4">
      <c r="A623" s="15">
        <v>623</v>
      </c>
      <c r="B623" s="3"/>
      <c r="C623" s="15" t="s">
        <v>125</v>
      </c>
      <c r="D623" s="9" t="s">
        <v>154</v>
      </c>
    </row>
    <row r="624" spans="1:4">
      <c r="A624" s="15">
        <v>624</v>
      </c>
      <c r="B624" s="3"/>
      <c r="C624" s="15" t="s">
        <v>126</v>
      </c>
      <c r="D624" s="9" t="s">
        <v>154</v>
      </c>
    </row>
    <row r="625" spans="1:4">
      <c r="A625" s="15">
        <v>625</v>
      </c>
      <c r="B625" s="3"/>
      <c r="C625" s="15" t="s">
        <v>127</v>
      </c>
      <c r="D625" s="9" t="s">
        <v>154</v>
      </c>
    </row>
    <row r="626" spans="1:4">
      <c r="A626" s="15">
        <v>626</v>
      </c>
      <c r="B626" s="3"/>
      <c r="C626" s="15" t="s">
        <v>128</v>
      </c>
      <c r="D626" s="9" t="s">
        <v>154</v>
      </c>
    </row>
    <row r="627" spans="1:4">
      <c r="A627" s="15">
        <v>627</v>
      </c>
      <c r="B627" s="3"/>
      <c r="C627" s="15" t="s">
        <v>129</v>
      </c>
      <c r="D627" s="9" t="s">
        <v>154</v>
      </c>
    </row>
    <row r="628" spans="1:4">
      <c r="A628" s="15">
        <v>628</v>
      </c>
      <c r="B628" s="3"/>
      <c r="C628" s="15" t="s">
        <v>130</v>
      </c>
      <c r="D628" s="9" t="s">
        <v>154</v>
      </c>
    </row>
    <row r="629" spans="1:4">
      <c r="A629" s="15">
        <v>629</v>
      </c>
      <c r="B629" s="3"/>
      <c r="C629" s="15" t="s">
        <v>131</v>
      </c>
      <c r="D629" s="9" t="s">
        <v>154</v>
      </c>
    </row>
    <row r="630" spans="1:4">
      <c r="A630" s="15">
        <v>630</v>
      </c>
      <c r="B630" s="3"/>
      <c r="C630" s="15" t="s">
        <v>121</v>
      </c>
      <c r="D630" s="9" t="s">
        <v>154</v>
      </c>
    </row>
    <row r="631" spans="1:4">
      <c r="A631" s="15">
        <v>631</v>
      </c>
      <c r="B631" s="3"/>
      <c r="C631" s="17" t="s">
        <v>107</v>
      </c>
      <c r="D631" s="9" t="s">
        <v>155</v>
      </c>
    </row>
    <row r="632" spans="1:4">
      <c r="A632" s="15">
        <v>632</v>
      </c>
      <c r="B632" s="3"/>
      <c r="C632" s="15" t="s">
        <v>108</v>
      </c>
      <c r="D632" s="9" t="s">
        <v>155</v>
      </c>
    </row>
    <row r="633" spans="1:4">
      <c r="A633" s="15">
        <v>633</v>
      </c>
      <c r="B633" s="3"/>
      <c r="C633" s="15" t="s">
        <v>109</v>
      </c>
      <c r="D633" s="9" t="s">
        <v>155</v>
      </c>
    </row>
    <row r="634" spans="1:4">
      <c r="A634" s="15">
        <v>634</v>
      </c>
      <c r="B634" s="3"/>
      <c r="C634" s="15" t="s">
        <v>110</v>
      </c>
      <c r="D634" s="9" t="s">
        <v>155</v>
      </c>
    </row>
    <row r="635" spans="1:4">
      <c r="A635" s="15">
        <v>635</v>
      </c>
      <c r="B635" s="3"/>
      <c r="C635" s="15" t="s">
        <v>111</v>
      </c>
      <c r="D635" s="9" t="s">
        <v>155</v>
      </c>
    </row>
    <row r="636" spans="1:4">
      <c r="A636" s="15">
        <v>636</v>
      </c>
      <c r="B636" s="3"/>
      <c r="C636" s="15" t="s">
        <v>112</v>
      </c>
      <c r="D636" s="9" t="s">
        <v>155</v>
      </c>
    </row>
    <row r="637" spans="1:4">
      <c r="A637" s="15">
        <v>637</v>
      </c>
      <c r="B637" s="3"/>
      <c r="C637" s="15" t="s">
        <v>113</v>
      </c>
      <c r="D637" s="9" t="s">
        <v>155</v>
      </c>
    </row>
    <row r="638" spans="1:4">
      <c r="A638" s="15">
        <v>638</v>
      </c>
      <c r="B638" s="3"/>
      <c r="C638" s="15" t="s">
        <v>114</v>
      </c>
      <c r="D638" s="9" t="s">
        <v>155</v>
      </c>
    </row>
    <row r="639" spans="1:4">
      <c r="A639" s="15">
        <v>639</v>
      </c>
      <c r="B639" s="3"/>
      <c r="C639" s="15" t="s">
        <v>115</v>
      </c>
      <c r="D639" s="9" t="s">
        <v>155</v>
      </c>
    </row>
    <row r="640" spans="1:4">
      <c r="A640" s="15">
        <v>640</v>
      </c>
      <c r="B640" s="3"/>
      <c r="C640" s="15" t="s">
        <v>116</v>
      </c>
      <c r="D640" s="9" t="s">
        <v>155</v>
      </c>
    </row>
    <row r="641" spans="1:4">
      <c r="A641" s="15">
        <v>641</v>
      </c>
      <c r="B641" s="3"/>
      <c r="C641" s="15" t="s">
        <v>117</v>
      </c>
      <c r="D641" s="9" t="s">
        <v>155</v>
      </c>
    </row>
    <row r="642" spans="1:4">
      <c r="A642" s="15">
        <v>642</v>
      </c>
      <c r="B642" s="3"/>
      <c r="C642" s="15" t="s">
        <v>118</v>
      </c>
      <c r="D642" s="9" t="s">
        <v>155</v>
      </c>
    </row>
    <row r="643" spans="1:4">
      <c r="A643" s="15">
        <v>643</v>
      </c>
      <c r="B643" s="3"/>
      <c r="C643" s="15" t="s">
        <v>119</v>
      </c>
      <c r="D643" s="9" t="s">
        <v>155</v>
      </c>
    </row>
    <row r="644" spans="1:4">
      <c r="A644" s="15">
        <v>644</v>
      </c>
      <c r="B644" s="3"/>
      <c r="C644" s="15" t="s">
        <v>120</v>
      </c>
      <c r="D644" s="9" t="s">
        <v>155</v>
      </c>
    </row>
    <row r="645" spans="1:4">
      <c r="A645" s="15">
        <v>645</v>
      </c>
      <c r="B645" s="3"/>
      <c r="C645" s="15" t="s">
        <v>122</v>
      </c>
      <c r="D645" s="9" t="s">
        <v>155</v>
      </c>
    </row>
    <row r="646" spans="1:4">
      <c r="A646" s="15">
        <v>646</v>
      </c>
      <c r="B646" s="3"/>
      <c r="C646" s="15" t="s">
        <v>123</v>
      </c>
      <c r="D646" s="9" t="s">
        <v>155</v>
      </c>
    </row>
    <row r="647" spans="1:4">
      <c r="A647" s="15">
        <v>647</v>
      </c>
      <c r="B647" s="3"/>
      <c r="C647" s="15" t="s">
        <v>124</v>
      </c>
      <c r="D647" s="9" t="s">
        <v>155</v>
      </c>
    </row>
    <row r="648" spans="1:4">
      <c r="A648" s="15">
        <v>648</v>
      </c>
      <c r="B648" s="3"/>
      <c r="C648" s="15" t="s">
        <v>125</v>
      </c>
      <c r="D648" s="9" t="s">
        <v>155</v>
      </c>
    </row>
    <row r="649" spans="1:4">
      <c r="A649" s="15">
        <v>649</v>
      </c>
      <c r="B649" s="3"/>
      <c r="C649" s="15" t="s">
        <v>126</v>
      </c>
      <c r="D649" s="9" t="s">
        <v>155</v>
      </c>
    </row>
    <row r="650" spans="1:4">
      <c r="A650" s="15">
        <v>650</v>
      </c>
      <c r="B650" s="3"/>
      <c r="C650" s="15" t="s">
        <v>127</v>
      </c>
      <c r="D650" s="9" t="s">
        <v>155</v>
      </c>
    </row>
    <row r="651" spans="1:4">
      <c r="A651" s="15">
        <v>651</v>
      </c>
      <c r="B651" s="3"/>
      <c r="C651" s="15" t="s">
        <v>128</v>
      </c>
      <c r="D651" s="9" t="s">
        <v>155</v>
      </c>
    </row>
    <row r="652" spans="1:4">
      <c r="A652" s="15">
        <v>652</v>
      </c>
      <c r="B652" s="3"/>
      <c r="C652" s="15" t="s">
        <v>129</v>
      </c>
      <c r="D652" s="9" t="s">
        <v>155</v>
      </c>
    </row>
    <row r="653" spans="1:4">
      <c r="A653" s="15">
        <v>653</v>
      </c>
      <c r="B653" s="3"/>
      <c r="C653" s="15" t="s">
        <v>130</v>
      </c>
      <c r="D653" s="9" t="s">
        <v>155</v>
      </c>
    </row>
    <row r="654" spans="1:4">
      <c r="A654" s="15">
        <v>654</v>
      </c>
      <c r="B654" s="3"/>
      <c r="C654" s="15" t="s">
        <v>131</v>
      </c>
      <c r="D654" s="9" t="s">
        <v>155</v>
      </c>
    </row>
    <row r="655" spans="1:4">
      <c r="A655" s="15">
        <v>655</v>
      </c>
      <c r="B655" s="3"/>
      <c r="C655" s="15" t="s">
        <v>121</v>
      </c>
      <c r="D655" s="9" t="s">
        <v>155</v>
      </c>
    </row>
    <row r="656" spans="1:4">
      <c r="A656" s="15">
        <v>656</v>
      </c>
      <c r="B656" s="3"/>
      <c r="C656" s="17" t="s">
        <v>107</v>
      </c>
      <c r="D656" s="9" t="s">
        <v>156</v>
      </c>
    </row>
    <row r="657" spans="1:4">
      <c r="A657" s="15">
        <v>657</v>
      </c>
      <c r="B657" s="3"/>
      <c r="C657" s="15" t="s">
        <v>108</v>
      </c>
      <c r="D657" s="9" t="s">
        <v>156</v>
      </c>
    </row>
    <row r="658" spans="1:4">
      <c r="A658" s="15">
        <v>658</v>
      </c>
      <c r="B658" s="3"/>
      <c r="C658" s="15" t="s">
        <v>109</v>
      </c>
      <c r="D658" s="9" t="s">
        <v>156</v>
      </c>
    </row>
    <row r="659" spans="1:4">
      <c r="A659" s="15">
        <v>659</v>
      </c>
      <c r="B659" s="3"/>
      <c r="C659" s="15" t="s">
        <v>110</v>
      </c>
      <c r="D659" s="9" t="s">
        <v>156</v>
      </c>
    </row>
    <row r="660" spans="1:4">
      <c r="A660" s="15">
        <v>660</v>
      </c>
      <c r="B660" s="3"/>
      <c r="C660" s="15" t="s">
        <v>111</v>
      </c>
      <c r="D660" s="9" t="s">
        <v>156</v>
      </c>
    </row>
    <row r="661" spans="1:4">
      <c r="A661" s="15">
        <v>661</v>
      </c>
      <c r="B661" s="3"/>
      <c r="C661" s="15" t="s">
        <v>112</v>
      </c>
      <c r="D661" s="9" t="s">
        <v>156</v>
      </c>
    </row>
    <row r="662" spans="1:4">
      <c r="A662" s="15">
        <v>662</v>
      </c>
      <c r="B662" s="3"/>
      <c r="C662" s="15" t="s">
        <v>113</v>
      </c>
      <c r="D662" s="9" t="s">
        <v>156</v>
      </c>
    </row>
    <row r="663" spans="1:4">
      <c r="A663" s="15">
        <v>663</v>
      </c>
      <c r="B663" s="3"/>
      <c r="C663" s="15" t="s">
        <v>114</v>
      </c>
      <c r="D663" s="9" t="s">
        <v>156</v>
      </c>
    </row>
    <row r="664" spans="1:4">
      <c r="A664" s="15">
        <v>664</v>
      </c>
      <c r="B664" s="3"/>
      <c r="C664" s="15" t="s">
        <v>115</v>
      </c>
      <c r="D664" s="9" t="s">
        <v>156</v>
      </c>
    </row>
    <row r="665" spans="1:4">
      <c r="A665" s="15">
        <v>665</v>
      </c>
      <c r="B665" s="3"/>
      <c r="C665" s="15" t="s">
        <v>116</v>
      </c>
      <c r="D665" s="9" t="s">
        <v>156</v>
      </c>
    </row>
    <row r="666" spans="1:4">
      <c r="A666" s="15">
        <v>666</v>
      </c>
      <c r="B666" s="3"/>
      <c r="C666" s="15" t="s">
        <v>117</v>
      </c>
      <c r="D666" s="9" t="s">
        <v>156</v>
      </c>
    </row>
    <row r="667" spans="1:4">
      <c r="A667" s="15">
        <v>667</v>
      </c>
      <c r="B667" s="3"/>
      <c r="C667" s="15" t="s">
        <v>118</v>
      </c>
      <c r="D667" s="9" t="s">
        <v>156</v>
      </c>
    </row>
    <row r="668" spans="1:4">
      <c r="A668" s="15">
        <v>668</v>
      </c>
      <c r="B668" s="3"/>
      <c r="C668" s="15" t="s">
        <v>119</v>
      </c>
      <c r="D668" s="9" t="s">
        <v>156</v>
      </c>
    </row>
    <row r="669" spans="1:4">
      <c r="A669" s="15">
        <v>669</v>
      </c>
      <c r="B669" s="3"/>
      <c r="C669" s="15" t="s">
        <v>120</v>
      </c>
      <c r="D669" s="9" t="s">
        <v>156</v>
      </c>
    </row>
    <row r="670" spans="1:4">
      <c r="A670" s="15">
        <v>670</v>
      </c>
      <c r="B670" s="3"/>
      <c r="C670" s="15" t="s">
        <v>122</v>
      </c>
      <c r="D670" s="9" t="s">
        <v>156</v>
      </c>
    </row>
    <row r="671" spans="1:4">
      <c r="A671" s="15">
        <v>671</v>
      </c>
      <c r="B671" s="3"/>
      <c r="C671" s="15" t="s">
        <v>123</v>
      </c>
      <c r="D671" s="9" t="s">
        <v>156</v>
      </c>
    </row>
    <row r="672" spans="1:4">
      <c r="A672" s="15">
        <v>672</v>
      </c>
      <c r="B672" s="3"/>
      <c r="C672" s="15" t="s">
        <v>124</v>
      </c>
      <c r="D672" s="9" t="s">
        <v>156</v>
      </c>
    </row>
    <row r="673" spans="1:4">
      <c r="A673" s="15">
        <v>673</v>
      </c>
      <c r="B673" s="3"/>
      <c r="C673" s="15" t="s">
        <v>125</v>
      </c>
      <c r="D673" s="9" t="s">
        <v>156</v>
      </c>
    </row>
    <row r="674" spans="1:4">
      <c r="A674" s="15">
        <v>674</v>
      </c>
      <c r="B674" s="3"/>
      <c r="C674" s="15" t="s">
        <v>126</v>
      </c>
      <c r="D674" s="9" t="s">
        <v>156</v>
      </c>
    </row>
    <row r="675" spans="1:4">
      <c r="A675" s="15">
        <v>675</v>
      </c>
      <c r="B675" s="3"/>
      <c r="C675" s="15" t="s">
        <v>127</v>
      </c>
      <c r="D675" s="9" t="s">
        <v>156</v>
      </c>
    </row>
    <row r="676" spans="1:4">
      <c r="A676" s="15">
        <v>676</v>
      </c>
      <c r="B676" s="3"/>
      <c r="C676" s="15" t="s">
        <v>128</v>
      </c>
      <c r="D676" s="9" t="s">
        <v>156</v>
      </c>
    </row>
    <row r="677" spans="1:4">
      <c r="A677" s="15">
        <v>677</v>
      </c>
      <c r="B677" s="3"/>
      <c r="C677" s="15" t="s">
        <v>129</v>
      </c>
      <c r="D677" s="9" t="s">
        <v>156</v>
      </c>
    </row>
    <row r="678" spans="1:4">
      <c r="A678" s="15">
        <v>678</v>
      </c>
      <c r="B678" s="3"/>
      <c r="C678" s="15" t="s">
        <v>130</v>
      </c>
      <c r="D678" s="9" t="s">
        <v>156</v>
      </c>
    </row>
    <row r="679" spans="1:4">
      <c r="A679" s="15">
        <v>679</v>
      </c>
      <c r="B679" s="3"/>
      <c r="C679" s="15" t="s">
        <v>131</v>
      </c>
      <c r="D679" s="9" t="s">
        <v>156</v>
      </c>
    </row>
    <row r="680" spans="1:4">
      <c r="A680" s="15">
        <v>680</v>
      </c>
      <c r="B680" s="3"/>
      <c r="C680" s="15" t="s">
        <v>121</v>
      </c>
      <c r="D680" s="9" t="s">
        <v>156</v>
      </c>
    </row>
    <row r="681" spans="1:4">
      <c r="A681" s="15">
        <v>681</v>
      </c>
      <c r="B681" s="3"/>
      <c r="C681" s="17" t="s">
        <v>107</v>
      </c>
      <c r="D681" s="9" t="s">
        <v>157</v>
      </c>
    </row>
    <row r="682" spans="1:4">
      <c r="A682" s="15">
        <v>682</v>
      </c>
      <c r="B682" s="3"/>
      <c r="C682" s="15" t="s">
        <v>108</v>
      </c>
      <c r="D682" s="9" t="s">
        <v>157</v>
      </c>
    </row>
    <row r="683" spans="1:4">
      <c r="A683" s="15">
        <v>683</v>
      </c>
      <c r="B683" s="3"/>
      <c r="C683" s="15" t="s">
        <v>109</v>
      </c>
      <c r="D683" s="9" t="s">
        <v>157</v>
      </c>
    </row>
    <row r="684" spans="1:4">
      <c r="A684" s="15">
        <v>684</v>
      </c>
      <c r="B684" s="3"/>
      <c r="C684" s="15" t="s">
        <v>110</v>
      </c>
      <c r="D684" s="9" t="s">
        <v>157</v>
      </c>
    </row>
    <row r="685" spans="1:4">
      <c r="A685" s="15">
        <v>685</v>
      </c>
      <c r="B685" s="3"/>
      <c r="C685" s="15" t="s">
        <v>111</v>
      </c>
      <c r="D685" s="9" t="s">
        <v>157</v>
      </c>
    </row>
    <row r="686" spans="1:4">
      <c r="A686" s="15">
        <v>686</v>
      </c>
      <c r="B686" s="3"/>
      <c r="C686" s="15" t="s">
        <v>112</v>
      </c>
      <c r="D686" s="9" t="s">
        <v>157</v>
      </c>
    </row>
    <row r="687" spans="1:4">
      <c r="A687" s="15">
        <v>687</v>
      </c>
      <c r="B687" s="3"/>
      <c r="C687" s="15" t="s">
        <v>113</v>
      </c>
      <c r="D687" s="9" t="s">
        <v>157</v>
      </c>
    </row>
    <row r="688" spans="1:4">
      <c r="A688" s="15">
        <v>688</v>
      </c>
      <c r="B688" s="3"/>
      <c r="C688" s="15" t="s">
        <v>114</v>
      </c>
      <c r="D688" s="9" t="s">
        <v>157</v>
      </c>
    </row>
    <row r="689" spans="1:4">
      <c r="A689" s="15">
        <v>689</v>
      </c>
      <c r="B689" s="3"/>
      <c r="C689" s="15" t="s">
        <v>115</v>
      </c>
      <c r="D689" s="9" t="s">
        <v>157</v>
      </c>
    </row>
    <row r="690" spans="1:4">
      <c r="A690" s="15">
        <v>690</v>
      </c>
      <c r="B690" s="3"/>
      <c r="C690" s="15" t="s">
        <v>116</v>
      </c>
      <c r="D690" s="9" t="s">
        <v>157</v>
      </c>
    </row>
    <row r="691" spans="1:4">
      <c r="A691" s="15">
        <v>691</v>
      </c>
      <c r="B691" s="3"/>
      <c r="C691" s="15" t="s">
        <v>117</v>
      </c>
      <c r="D691" s="9" t="s">
        <v>157</v>
      </c>
    </row>
    <row r="692" spans="1:4">
      <c r="A692" s="15">
        <v>692</v>
      </c>
      <c r="B692" s="3"/>
      <c r="C692" s="15" t="s">
        <v>118</v>
      </c>
      <c r="D692" s="9" t="s">
        <v>157</v>
      </c>
    </row>
    <row r="693" spans="1:4">
      <c r="A693" s="15">
        <v>693</v>
      </c>
      <c r="B693" s="3"/>
      <c r="C693" s="15" t="s">
        <v>119</v>
      </c>
      <c r="D693" s="9" t="s">
        <v>157</v>
      </c>
    </row>
    <row r="694" spans="1:4">
      <c r="A694" s="15">
        <v>694</v>
      </c>
      <c r="B694" s="3"/>
      <c r="C694" s="15" t="s">
        <v>120</v>
      </c>
      <c r="D694" s="9" t="s">
        <v>157</v>
      </c>
    </row>
    <row r="695" spans="1:4">
      <c r="A695" s="15">
        <v>695</v>
      </c>
      <c r="B695" s="3"/>
      <c r="C695" s="15" t="s">
        <v>122</v>
      </c>
      <c r="D695" s="9" t="s">
        <v>157</v>
      </c>
    </row>
    <row r="696" spans="1:4">
      <c r="A696" s="15">
        <v>696</v>
      </c>
      <c r="B696" s="3"/>
      <c r="C696" s="15" t="s">
        <v>123</v>
      </c>
      <c r="D696" s="9" t="s">
        <v>157</v>
      </c>
    </row>
    <row r="697" spans="1:4">
      <c r="A697" s="15">
        <v>697</v>
      </c>
      <c r="B697" s="3"/>
      <c r="C697" s="15" t="s">
        <v>124</v>
      </c>
      <c r="D697" s="9" t="s">
        <v>157</v>
      </c>
    </row>
    <row r="698" spans="1:4">
      <c r="A698" s="15">
        <v>698</v>
      </c>
      <c r="B698" s="3"/>
      <c r="C698" s="15" t="s">
        <v>125</v>
      </c>
      <c r="D698" s="9" t="s">
        <v>157</v>
      </c>
    </row>
    <row r="699" spans="1:4">
      <c r="A699" s="15">
        <v>699</v>
      </c>
      <c r="B699" s="3"/>
      <c r="C699" s="15" t="s">
        <v>126</v>
      </c>
      <c r="D699" s="9" t="s">
        <v>157</v>
      </c>
    </row>
    <row r="700" spans="1:4">
      <c r="A700" s="15">
        <v>700</v>
      </c>
      <c r="B700" s="3"/>
      <c r="C700" s="15" t="s">
        <v>127</v>
      </c>
      <c r="D700" s="9" t="s">
        <v>157</v>
      </c>
    </row>
    <row r="701" spans="1:4">
      <c r="A701" s="15">
        <v>701</v>
      </c>
      <c r="B701" s="3"/>
      <c r="C701" s="15" t="s">
        <v>128</v>
      </c>
      <c r="D701" s="9" t="s">
        <v>157</v>
      </c>
    </row>
    <row r="702" spans="1:4">
      <c r="A702" s="15">
        <v>702</v>
      </c>
      <c r="B702" s="3"/>
      <c r="C702" s="15" t="s">
        <v>129</v>
      </c>
      <c r="D702" s="9" t="s">
        <v>157</v>
      </c>
    </row>
    <row r="703" spans="1:4">
      <c r="A703" s="15">
        <v>703</v>
      </c>
      <c r="B703" s="3"/>
      <c r="C703" s="15" t="s">
        <v>130</v>
      </c>
      <c r="D703" s="9" t="s">
        <v>157</v>
      </c>
    </row>
    <row r="704" spans="1:4">
      <c r="A704" s="15">
        <v>704</v>
      </c>
      <c r="B704" s="3"/>
      <c r="C704" s="15" t="s">
        <v>131</v>
      </c>
      <c r="D704" s="9" t="s">
        <v>157</v>
      </c>
    </row>
    <row r="705" spans="1:4">
      <c r="A705" s="15">
        <v>705</v>
      </c>
      <c r="B705" s="3"/>
      <c r="C705" s="15" t="s">
        <v>121</v>
      </c>
      <c r="D705" s="9" t="s">
        <v>157</v>
      </c>
    </row>
    <row r="706" spans="1:4">
      <c r="A706" s="15">
        <v>706</v>
      </c>
      <c r="B706" s="3"/>
      <c r="C706" s="17" t="s">
        <v>107</v>
      </c>
      <c r="D706" s="9" t="s">
        <v>158</v>
      </c>
    </row>
    <row r="707" spans="1:4">
      <c r="A707" s="15">
        <v>707</v>
      </c>
      <c r="B707" s="3"/>
      <c r="C707" s="15" t="s">
        <v>108</v>
      </c>
      <c r="D707" s="9" t="s">
        <v>158</v>
      </c>
    </row>
    <row r="708" spans="1:4">
      <c r="A708" s="15">
        <v>708</v>
      </c>
      <c r="B708" s="3"/>
      <c r="C708" s="15" t="s">
        <v>109</v>
      </c>
      <c r="D708" s="9" t="s">
        <v>158</v>
      </c>
    </row>
    <row r="709" spans="1:4">
      <c r="A709" s="15">
        <v>709</v>
      </c>
      <c r="B709" s="3"/>
      <c r="C709" s="15" t="s">
        <v>110</v>
      </c>
      <c r="D709" s="9" t="s">
        <v>158</v>
      </c>
    </row>
    <row r="710" spans="1:4">
      <c r="A710" s="15">
        <v>710</v>
      </c>
      <c r="B710" s="3"/>
      <c r="C710" s="15" t="s">
        <v>111</v>
      </c>
      <c r="D710" s="9" t="s">
        <v>158</v>
      </c>
    </row>
    <row r="711" spans="1:4">
      <c r="A711" s="15">
        <v>711</v>
      </c>
      <c r="B711" s="3"/>
      <c r="C711" s="15" t="s">
        <v>112</v>
      </c>
      <c r="D711" s="9" t="s">
        <v>158</v>
      </c>
    </row>
    <row r="712" spans="1:4">
      <c r="A712" s="15">
        <v>712</v>
      </c>
      <c r="B712" s="3"/>
      <c r="C712" s="15" t="s">
        <v>113</v>
      </c>
      <c r="D712" s="9" t="s">
        <v>158</v>
      </c>
    </row>
    <row r="713" spans="1:4">
      <c r="A713" s="15">
        <v>713</v>
      </c>
      <c r="B713" s="3"/>
      <c r="C713" s="15" t="s">
        <v>114</v>
      </c>
      <c r="D713" s="9" t="s">
        <v>158</v>
      </c>
    </row>
    <row r="714" spans="1:4">
      <c r="A714" s="15">
        <v>714</v>
      </c>
      <c r="B714" s="3"/>
      <c r="C714" s="15" t="s">
        <v>115</v>
      </c>
      <c r="D714" s="9" t="s">
        <v>158</v>
      </c>
    </row>
    <row r="715" spans="1:4">
      <c r="A715" s="15">
        <v>715</v>
      </c>
      <c r="B715" s="3"/>
      <c r="C715" s="15" t="s">
        <v>116</v>
      </c>
      <c r="D715" s="9" t="s">
        <v>158</v>
      </c>
    </row>
    <row r="716" spans="1:4">
      <c r="A716" s="15">
        <v>716</v>
      </c>
      <c r="B716" s="3"/>
      <c r="C716" s="15" t="s">
        <v>117</v>
      </c>
      <c r="D716" s="9" t="s">
        <v>158</v>
      </c>
    </row>
    <row r="717" spans="1:4">
      <c r="A717" s="15">
        <v>717</v>
      </c>
      <c r="B717" s="3"/>
      <c r="C717" s="15" t="s">
        <v>118</v>
      </c>
      <c r="D717" s="9" t="s">
        <v>158</v>
      </c>
    </row>
    <row r="718" spans="1:4">
      <c r="A718" s="15">
        <v>718</v>
      </c>
      <c r="B718" s="3"/>
      <c r="C718" s="15" t="s">
        <v>119</v>
      </c>
      <c r="D718" s="9" t="s">
        <v>158</v>
      </c>
    </row>
    <row r="719" spans="1:4">
      <c r="A719" s="15">
        <v>719</v>
      </c>
      <c r="B719" s="3"/>
      <c r="C719" s="15" t="s">
        <v>120</v>
      </c>
      <c r="D719" s="9" t="s">
        <v>158</v>
      </c>
    </row>
    <row r="720" spans="1:4">
      <c r="A720" s="15">
        <v>720</v>
      </c>
      <c r="B720" s="3"/>
      <c r="C720" s="15" t="s">
        <v>122</v>
      </c>
      <c r="D720" s="9" t="s">
        <v>158</v>
      </c>
    </row>
    <row r="721" spans="1:4">
      <c r="A721" s="15">
        <v>721</v>
      </c>
      <c r="B721" s="3"/>
      <c r="C721" s="15" t="s">
        <v>123</v>
      </c>
      <c r="D721" s="9" t="s">
        <v>158</v>
      </c>
    </row>
    <row r="722" spans="1:4">
      <c r="A722" s="15">
        <v>722</v>
      </c>
      <c r="B722" s="3"/>
      <c r="C722" s="15" t="s">
        <v>124</v>
      </c>
      <c r="D722" s="9" t="s">
        <v>158</v>
      </c>
    </row>
    <row r="723" spans="1:4">
      <c r="A723" s="15">
        <v>723</v>
      </c>
      <c r="B723" s="3"/>
      <c r="C723" s="15" t="s">
        <v>125</v>
      </c>
      <c r="D723" s="9" t="s">
        <v>158</v>
      </c>
    </row>
    <row r="724" spans="1:4">
      <c r="A724" s="15">
        <v>724</v>
      </c>
      <c r="B724" s="3"/>
      <c r="C724" s="15" t="s">
        <v>126</v>
      </c>
      <c r="D724" s="9" t="s">
        <v>158</v>
      </c>
    </row>
    <row r="725" spans="1:4">
      <c r="A725" s="15">
        <v>725</v>
      </c>
      <c r="B725" s="3"/>
      <c r="C725" s="15" t="s">
        <v>127</v>
      </c>
      <c r="D725" s="9" t="s">
        <v>158</v>
      </c>
    </row>
    <row r="726" spans="1:4">
      <c r="A726" s="15">
        <v>726</v>
      </c>
      <c r="B726" s="3"/>
      <c r="C726" s="15" t="s">
        <v>128</v>
      </c>
      <c r="D726" s="9" t="s">
        <v>158</v>
      </c>
    </row>
    <row r="727" spans="1:4">
      <c r="A727" s="15">
        <v>727</v>
      </c>
      <c r="B727" s="3"/>
      <c r="C727" s="15" t="s">
        <v>129</v>
      </c>
      <c r="D727" s="9" t="s">
        <v>158</v>
      </c>
    </row>
    <row r="728" spans="1:4">
      <c r="A728" s="15">
        <v>728</v>
      </c>
      <c r="B728" s="3"/>
      <c r="C728" s="15" t="s">
        <v>130</v>
      </c>
      <c r="D728" s="9" t="s">
        <v>158</v>
      </c>
    </row>
    <row r="729" spans="1:4">
      <c r="A729" s="15">
        <v>729</v>
      </c>
      <c r="B729" s="3"/>
      <c r="C729" s="15" t="s">
        <v>131</v>
      </c>
      <c r="D729" s="9" t="s">
        <v>158</v>
      </c>
    </row>
    <row r="730" spans="1:4">
      <c r="A730" s="15">
        <v>730</v>
      </c>
      <c r="B730" s="3"/>
      <c r="C730" s="15" t="s">
        <v>121</v>
      </c>
      <c r="D730" s="9" t="s">
        <v>158</v>
      </c>
    </row>
    <row r="731" spans="1:4">
      <c r="A731" s="15">
        <v>731</v>
      </c>
      <c r="B731" s="3"/>
      <c r="C731" s="17" t="s">
        <v>107</v>
      </c>
      <c r="D731" s="9" t="s">
        <v>159</v>
      </c>
    </row>
    <row r="732" spans="1:4">
      <c r="A732" s="15">
        <v>732</v>
      </c>
      <c r="B732" s="3"/>
      <c r="C732" s="15" t="s">
        <v>108</v>
      </c>
      <c r="D732" s="9" t="s">
        <v>159</v>
      </c>
    </row>
    <row r="733" spans="1:4">
      <c r="A733" s="15">
        <v>733</v>
      </c>
      <c r="B733" s="3"/>
      <c r="C733" s="15" t="s">
        <v>109</v>
      </c>
      <c r="D733" s="9" t="s">
        <v>159</v>
      </c>
    </row>
    <row r="734" spans="1:4">
      <c r="A734" s="15">
        <v>734</v>
      </c>
      <c r="B734" s="3"/>
      <c r="C734" s="15" t="s">
        <v>110</v>
      </c>
      <c r="D734" s="9" t="s">
        <v>159</v>
      </c>
    </row>
    <row r="735" spans="1:4">
      <c r="A735" s="15">
        <v>735</v>
      </c>
      <c r="B735" s="3"/>
      <c r="C735" s="15" t="s">
        <v>111</v>
      </c>
      <c r="D735" s="9" t="s">
        <v>159</v>
      </c>
    </row>
    <row r="736" spans="1:4">
      <c r="A736" s="15">
        <v>736</v>
      </c>
      <c r="B736" s="3"/>
      <c r="C736" s="15" t="s">
        <v>112</v>
      </c>
      <c r="D736" s="9" t="s">
        <v>159</v>
      </c>
    </row>
    <row r="737" spans="1:4">
      <c r="A737" s="15">
        <v>737</v>
      </c>
      <c r="B737" s="3"/>
      <c r="C737" s="15" t="s">
        <v>113</v>
      </c>
      <c r="D737" s="9" t="s">
        <v>159</v>
      </c>
    </row>
    <row r="738" spans="1:4">
      <c r="A738" s="15">
        <v>738</v>
      </c>
      <c r="B738" s="3"/>
      <c r="C738" s="15" t="s">
        <v>114</v>
      </c>
      <c r="D738" s="9" t="s">
        <v>159</v>
      </c>
    </row>
    <row r="739" spans="1:4">
      <c r="A739" s="15">
        <v>739</v>
      </c>
      <c r="B739" s="3"/>
      <c r="C739" s="15" t="s">
        <v>115</v>
      </c>
      <c r="D739" s="9" t="s">
        <v>159</v>
      </c>
    </row>
    <row r="740" spans="1:4">
      <c r="A740" s="15">
        <v>740</v>
      </c>
      <c r="B740" s="3"/>
      <c r="C740" s="15" t="s">
        <v>116</v>
      </c>
      <c r="D740" s="9" t="s">
        <v>159</v>
      </c>
    </row>
    <row r="741" spans="1:4">
      <c r="A741" s="15">
        <v>741</v>
      </c>
      <c r="B741" s="3"/>
      <c r="C741" s="15" t="s">
        <v>117</v>
      </c>
      <c r="D741" s="9" t="s">
        <v>159</v>
      </c>
    </row>
    <row r="742" spans="1:4">
      <c r="A742" s="15">
        <v>742</v>
      </c>
      <c r="B742" s="3"/>
      <c r="C742" s="15" t="s">
        <v>118</v>
      </c>
      <c r="D742" s="9" t="s">
        <v>159</v>
      </c>
    </row>
    <row r="743" spans="1:4">
      <c r="A743" s="15">
        <v>743</v>
      </c>
      <c r="B743" s="3"/>
      <c r="C743" s="15" t="s">
        <v>119</v>
      </c>
      <c r="D743" s="9" t="s">
        <v>159</v>
      </c>
    </row>
    <row r="744" spans="1:4">
      <c r="A744" s="15">
        <v>744</v>
      </c>
      <c r="B744" s="3"/>
      <c r="C744" s="15" t="s">
        <v>120</v>
      </c>
      <c r="D744" s="9" t="s">
        <v>159</v>
      </c>
    </row>
    <row r="745" spans="1:4">
      <c r="A745" s="15">
        <v>745</v>
      </c>
      <c r="B745" s="3"/>
      <c r="C745" s="15" t="s">
        <v>122</v>
      </c>
      <c r="D745" s="9" t="s">
        <v>159</v>
      </c>
    </row>
    <row r="746" spans="1:4">
      <c r="A746" s="15">
        <v>746</v>
      </c>
      <c r="B746" s="3"/>
      <c r="C746" s="15" t="s">
        <v>123</v>
      </c>
      <c r="D746" s="9" t="s">
        <v>159</v>
      </c>
    </row>
    <row r="747" spans="1:4">
      <c r="A747" s="15">
        <v>747</v>
      </c>
      <c r="B747" s="3"/>
      <c r="C747" s="15" t="s">
        <v>124</v>
      </c>
      <c r="D747" s="9" t="s">
        <v>159</v>
      </c>
    </row>
    <row r="748" spans="1:4">
      <c r="A748" s="15">
        <v>748</v>
      </c>
      <c r="B748" s="3"/>
      <c r="C748" s="15" t="s">
        <v>125</v>
      </c>
      <c r="D748" s="9" t="s">
        <v>159</v>
      </c>
    </row>
    <row r="749" spans="1:4">
      <c r="A749" s="15">
        <v>749</v>
      </c>
      <c r="B749" s="3"/>
      <c r="C749" s="15" t="s">
        <v>126</v>
      </c>
      <c r="D749" s="9" t="s">
        <v>159</v>
      </c>
    </row>
    <row r="750" spans="1:4">
      <c r="A750" s="15">
        <v>750</v>
      </c>
      <c r="B750" s="3"/>
      <c r="C750" s="15" t="s">
        <v>127</v>
      </c>
      <c r="D750" s="9" t="s">
        <v>159</v>
      </c>
    </row>
    <row r="751" spans="1:4">
      <c r="A751" s="15">
        <v>751</v>
      </c>
      <c r="B751" s="3"/>
      <c r="C751" s="15" t="s">
        <v>128</v>
      </c>
      <c r="D751" s="9" t="s">
        <v>159</v>
      </c>
    </row>
    <row r="752" spans="1:4">
      <c r="A752" s="15">
        <v>752</v>
      </c>
      <c r="B752" s="3"/>
      <c r="C752" s="15" t="s">
        <v>129</v>
      </c>
      <c r="D752" s="9" t="s">
        <v>159</v>
      </c>
    </row>
    <row r="753" spans="1:4">
      <c r="A753" s="15">
        <v>753</v>
      </c>
      <c r="B753" s="3"/>
      <c r="C753" s="15" t="s">
        <v>130</v>
      </c>
      <c r="D753" s="9" t="s">
        <v>159</v>
      </c>
    </row>
    <row r="754" spans="1:4">
      <c r="A754" s="15">
        <v>754</v>
      </c>
      <c r="B754" s="3"/>
      <c r="C754" s="15" t="s">
        <v>131</v>
      </c>
      <c r="D754" s="9" t="s">
        <v>159</v>
      </c>
    </row>
    <row r="755" spans="1:4">
      <c r="A755" s="15">
        <v>755</v>
      </c>
      <c r="B755" s="3"/>
      <c r="C755" s="15" t="s">
        <v>121</v>
      </c>
      <c r="D755" s="9" t="s">
        <v>159</v>
      </c>
    </row>
    <row r="756" spans="1:4">
      <c r="A756" s="15">
        <v>756</v>
      </c>
      <c r="B756" s="3"/>
      <c r="C756" s="17" t="s">
        <v>107</v>
      </c>
      <c r="D756" s="9" t="s">
        <v>160</v>
      </c>
    </row>
    <row r="757" spans="1:4">
      <c r="A757" s="15">
        <v>757</v>
      </c>
      <c r="B757" s="3"/>
      <c r="C757" s="15" t="s">
        <v>108</v>
      </c>
      <c r="D757" s="9" t="s">
        <v>160</v>
      </c>
    </row>
    <row r="758" spans="1:4">
      <c r="A758" s="15">
        <v>758</v>
      </c>
      <c r="B758" s="3"/>
      <c r="C758" s="15" t="s">
        <v>109</v>
      </c>
      <c r="D758" s="9" t="s">
        <v>160</v>
      </c>
    </row>
    <row r="759" spans="1:4">
      <c r="A759" s="15">
        <v>759</v>
      </c>
      <c r="B759" s="3"/>
      <c r="C759" s="15" t="s">
        <v>110</v>
      </c>
      <c r="D759" s="9" t="s">
        <v>160</v>
      </c>
    </row>
    <row r="760" spans="1:4">
      <c r="A760" s="15">
        <v>760</v>
      </c>
      <c r="B760" s="3"/>
      <c r="C760" s="15" t="s">
        <v>111</v>
      </c>
      <c r="D760" s="9" t="s">
        <v>160</v>
      </c>
    </row>
    <row r="761" spans="1:4">
      <c r="A761" s="15">
        <v>761</v>
      </c>
      <c r="B761" s="3"/>
      <c r="C761" s="15" t="s">
        <v>112</v>
      </c>
      <c r="D761" s="9" t="s">
        <v>160</v>
      </c>
    </row>
    <row r="762" spans="1:4">
      <c r="A762" s="15">
        <v>762</v>
      </c>
      <c r="B762" s="3"/>
      <c r="C762" s="15" t="s">
        <v>113</v>
      </c>
      <c r="D762" s="9" t="s">
        <v>160</v>
      </c>
    </row>
    <row r="763" spans="1:4">
      <c r="A763" s="15">
        <v>763</v>
      </c>
      <c r="B763" s="3"/>
      <c r="C763" s="15" t="s">
        <v>114</v>
      </c>
      <c r="D763" s="9" t="s">
        <v>160</v>
      </c>
    </row>
    <row r="764" spans="1:4">
      <c r="A764" s="15">
        <v>764</v>
      </c>
      <c r="B764" s="3"/>
      <c r="C764" s="15" t="s">
        <v>115</v>
      </c>
      <c r="D764" s="9" t="s">
        <v>160</v>
      </c>
    </row>
    <row r="765" spans="1:4">
      <c r="A765" s="15">
        <v>765</v>
      </c>
      <c r="B765" s="3"/>
      <c r="C765" s="15" t="s">
        <v>116</v>
      </c>
      <c r="D765" s="9" t="s">
        <v>160</v>
      </c>
    </row>
    <row r="766" spans="1:4">
      <c r="A766" s="15">
        <v>766</v>
      </c>
      <c r="B766" s="3"/>
      <c r="C766" s="15" t="s">
        <v>117</v>
      </c>
      <c r="D766" s="9" t="s">
        <v>160</v>
      </c>
    </row>
    <row r="767" spans="1:4">
      <c r="A767" s="15">
        <v>767</v>
      </c>
      <c r="B767" s="3"/>
      <c r="C767" s="15" t="s">
        <v>118</v>
      </c>
      <c r="D767" s="9" t="s">
        <v>160</v>
      </c>
    </row>
    <row r="768" spans="1:4">
      <c r="A768" s="15">
        <v>768</v>
      </c>
      <c r="B768" s="3"/>
      <c r="C768" s="15" t="s">
        <v>119</v>
      </c>
      <c r="D768" s="9" t="s">
        <v>160</v>
      </c>
    </row>
    <row r="769" spans="1:4">
      <c r="A769" s="15">
        <v>769</v>
      </c>
      <c r="B769" s="3"/>
      <c r="C769" s="15" t="s">
        <v>120</v>
      </c>
      <c r="D769" s="9" t="s">
        <v>160</v>
      </c>
    </row>
    <row r="770" spans="1:4">
      <c r="A770" s="15">
        <v>770</v>
      </c>
      <c r="B770" s="3"/>
      <c r="C770" s="15" t="s">
        <v>122</v>
      </c>
      <c r="D770" s="9" t="s">
        <v>160</v>
      </c>
    </row>
    <row r="771" spans="1:4">
      <c r="A771" s="15">
        <v>771</v>
      </c>
      <c r="B771" s="3"/>
      <c r="C771" s="15" t="s">
        <v>123</v>
      </c>
      <c r="D771" s="9" t="s">
        <v>160</v>
      </c>
    </row>
    <row r="772" spans="1:4">
      <c r="A772" s="15">
        <v>772</v>
      </c>
      <c r="B772" s="3"/>
      <c r="C772" s="15" t="s">
        <v>124</v>
      </c>
      <c r="D772" s="9" t="s">
        <v>160</v>
      </c>
    </row>
    <row r="773" spans="1:4">
      <c r="A773" s="15">
        <v>773</v>
      </c>
      <c r="B773" s="3"/>
      <c r="C773" s="15" t="s">
        <v>125</v>
      </c>
      <c r="D773" s="9" t="s">
        <v>160</v>
      </c>
    </row>
    <row r="774" spans="1:4">
      <c r="A774" s="15">
        <v>774</v>
      </c>
      <c r="B774" s="3"/>
      <c r="C774" s="15" t="s">
        <v>126</v>
      </c>
      <c r="D774" s="9" t="s">
        <v>160</v>
      </c>
    </row>
    <row r="775" spans="1:4">
      <c r="A775" s="15">
        <v>775</v>
      </c>
      <c r="B775" s="3"/>
      <c r="C775" s="15" t="s">
        <v>127</v>
      </c>
      <c r="D775" s="9" t="s">
        <v>160</v>
      </c>
    </row>
    <row r="776" spans="1:4">
      <c r="A776" s="15">
        <v>776</v>
      </c>
      <c r="B776" s="3"/>
      <c r="C776" s="15" t="s">
        <v>128</v>
      </c>
      <c r="D776" s="9" t="s">
        <v>160</v>
      </c>
    </row>
    <row r="777" spans="1:4">
      <c r="A777" s="15">
        <v>777</v>
      </c>
      <c r="B777" s="3"/>
      <c r="C777" s="15" t="s">
        <v>129</v>
      </c>
      <c r="D777" s="9" t="s">
        <v>160</v>
      </c>
    </row>
    <row r="778" spans="1:4">
      <c r="A778" s="15">
        <v>778</v>
      </c>
      <c r="B778" s="3"/>
      <c r="C778" s="15" t="s">
        <v>130</v>
      </c>
      <c r="D778" s="9" t="s">
        <v>160</v>
      </c>
    </row>
    <row r="779" spans="1:4">
      <c r="A779" s="15">
        <v>779</v>
      </c>
      <c r="B779" s="3"/>
      <c r="C779" s="15" t="s">
        <v>131</v>
      </c>
      <c r="D779" s="9" t="s">
        <v>160</v>
      </c>
    </row>
    <row r="780" spans="1:4">
      <c r="A780" s="15">
        <v>780</v>
      </c>
      <c r="B780" s="3"/>
      <c r="C780" s="15" t="s">
        <v>121</v>
      </c>
      <c r="D780" s="9" t="s">
        <v>160</v>
      </c>
    </row>
    <row r="781" spans="1:4">
      <c r="A781" s="15">
        <v>781</v>
      </c>
      <c r="B781" s="3"/>
      <c r="C781" s="17" t="s">
        <v>107</v>
      </c>
      <c r="D781" s="9" t="s">
        <v>161</v>
      </c>
    </row>
    <row r="782" spans="1:4">
      <c r="A782" s="15">
        <v>782</v>
      </c>
      <c r="B782" s="3"/>
      <c r="C782" s="15" t="s">
        <v>108</v>
      </c>
      <c r="D782" s="9" t="s">
        <v>161</v>
      </c>
    </row>
    <row r="783" spans="1:4">
      <c r="A783" s="15">
        <v>783</v>
      </c>
      <c r="B783" s="3"/>
      <c r="C783" s="15" t="s">
        <v>109</v>
      </c>
      <c r="D783" s="9" t="s">
        <v>161</v>
      </c>
    </row>
    <row r="784" spans="1:4">
      <c r="A784" s="15">
        <v>784</v>
      </c>
      <c r="B784" s="3"/>
      <c r="C784" s="15" t="s">
        <v>110</v>
      </c>
      <c r="D784" s="9" t="s">
        <v>161</v>
      </c>
    </row>
    <row r="785" spans="1:4">
      <c r="A785" s="15">
        <v>785</v>
      </c>
      <c r="B785" s="3"/>
      <c r="C785" s="15" t="s">
        <v>111</v>
      </c>
      <c r="D785" s="9" t="s">
        <v>161</v>
      </c>
    </row>
    <row r="786" spans="1:4">
      <c r="A786" s="15">
        <v>786</v>
      </c>
      <c r="B786" s="3"/>
      <c r="C786" s="15" t="s">
        <v>112</v>
      </c>
      <c r="D786" s="9" t="s">
        <v>161</v>
      </c>
    </row>
    <row r="787" spans="1:4">
      <c r="A787" s="15">
        <v>787</v>
      </c>
      <c r="B787" s="3"/>
      <c r="C787" s="15" t="s">
        <v>113</v>
      </c>
      <c r="D787" s="9" t="s">
        <v>161</v>
      </c>
    </row>
    <row r="788" spans="1:4">
      <c r="A788" s="15">
        <v>788</v>
      </c>
      <c r="B788" s="3"/>
      <c r="C788" s="15" t="s">
        <v>114</v>
      </c>
      <c r="D788" s="9" t="s">
        <v>161</v>
      </c>
    </row>
    <row r="789" spans="1:4">
      <c r="A789" s="15">
        <v>789</v>
      </c>
      <c r="B789" s="3"/>
      <c r="C789" s="15" t="s">
        <v>115</v>
      </c>
      <c r="D789" s="9" t="s">
        <v>161</v>
      </c>
    </row>
    <row r="790" spans="1:4">
      <c r="A790" s="15">
        <v>790</v>
      </c>
      <c r="B790" s="3"/>
      <c r="C790" s="15" t="s">
        <v>116</v>
      </c>
      <c r="D790" s="9" t="s">
        <v>161</v>
      </c>
    </row>
    <row r="791" spans="1:4">
      <c r="A791" s="15">
        <v>791</v>
      </c>
      <c r="B791" s="3"/>
      <c r="C791" s="15" t="s">
        <v>117</v>
      </c>
      <c r="D791" s="9" t="s">
        <v>161</v>
      </c>
    </row>
    <row r="792" spans="1:4">
      <c r="A792" s="15">
        <v>792</v>
      </c>
      <c r="B792" s="3"/>
      <c r="C792" s="15" t="s">
        <v>118</v>
      </c>
      <c r="D792" s="9" t="s">
        <v>161</v>
      </c>
    </row>
    <row r="793" spans="1:4">
      <c r="A793" s="15">
        <v>793</v>
      </c>
      <c r="B793" s="3"/>
      <c r="C793" s="15" t="s">
        <v>119</v>
      </c>
      <c r="D793" s="9" t="s">
        <v>161</v>
      </c>
    </row>
    <row r="794" spans="1:4">
      <c r="A794" s="15">
        <v>794</v>
      </c>
      <c r="B794" s="3"/>
      <c r="C794" s="15" t="s">
        <v>120</v>
      </c>
      <c r="D794" s="9" t="s">
        <v>161</v>
      </c>
    </row>
    <row r="795" spans="1:4">
      <c r="A795" s="15">
        <v>795</v>
      </c>
      <c r="B795" s="3"/>
      <c r="C795" s="15" t="s">
        <v>122</v>
      </c>
      <c r="D795" s="9" t="s">
        <v>161</v>
      </c>
    </row>
    <row r="796" spans="1:4">
      <c r="A796" s="15">
        <v>796</v>
      </c>
      <c r="B796" s="3"/>
      <c r="C796" s="15" t="s">
        <v>123</v>
      </c>
      <c r="D796" s="9" t="s">
        <v>161</v>
      </c>
    </row>
    <row r="797" spans="1:4">
      <c r="A797" s="15">
        <v>797</v>
      </c>
      <c r="B797" s="3"/>
      <c r="C797" s="15" t="s">
        <v>124</v>
      </c>
      <c r="D797" s="9" t="s">
        <v>161</v>
      </c>
    </row>
    <row r="798" spans="1:4">
      <c r="A798" s="15">
        <v>798</v>
      </c>
      <c r="B798" s="3"/>
      <c r="C798" s="15" t="s">
        <v>125</v>
      </c>
      <c r="D798" s="9" t="s">
        <v>161</v>
      </c>
    </row>
    <row r="799" spans="1:4">
      <c r="A799" s="15">
        <v>799</v>
      </c>
      <c r="B799" s="3"/>
      <c r="C799" s="15" t="s">
        <v>126</v>
      </c>
      <c r="D799" s="9" t="s">
        <v>161</v>
      </c>
    </row>
    <row r="800" spans="1:4">
      <c r="A800" s="15">
        <v>800</v>
      </c>
      <c r="B800" s="3"/>
      <c r="C800" s="15" t="s">
        <v>127</v>
      </c>
      <c r="D800" s="9" t="s">
        <v>161</v>
      </c>
    </row>
    <row r="801" spans="1:4">
      <c r="A801" s="15">
        <v>801</v>
      </c>
      <c r="B801" s="3"/>
      <c r="C801" s="15" t="s">
        <v>128</v>
      </c>
      <c r="D801" s="9" t="s">
        <v>161</v>
      </c>
    </row>
    <row r="802" spans="1:4">
      <c r="A802" s="15">
        <v>802</v>
      </c>
      <c r="B802" s="3"/>
      <c r="C802" s="15" t="s">
        <v>129</v>
      </c>
      <c r="D802" s="9" t="s">
        <v>161</v>
      </c>
    </row>
    <row r="803" spans="1:4">
      <c r="A803" s="15">
        <v>803</v>
      </c>
      <c r="B803" s="3"/>
      <c r="C803" s="15" t="s">
        <v>130</v>
      </c>
      <c r="D803" s="9" t="s">
        <v>161</v>
      </c>
    </row>
    <row r="804" spans="1:4">
      <c r="A804" s="15">
        <v>804</v>
      </c>
      <c r="B804" s="3"/>
      <c r="C804" s="15" t="s">
        <v>131</v>
      </c>
      <c r="D804" s="9" t="s">
        <v>161</v>
      </c>
    </row>
    <row r="805" spans="1:4">
      <c r="A805" s="15">
        <v>805</v>
      </c>
      <c r="B805" s="3"/>
      <c r="C805" s="15" t="s">
        <v>121</v>
      </c>
      <c r="D805" s="9" t="s">
        <v>161</v>
      </c>
    </row>
    <row r="806" spans="1:4">
      <c r="A806" s="15">
        <v>806</v>
      </c>
      <c r="B806" s="3"/>
      <c r="C806" s="17" t="s">
        <v>107</v>
      </c>
      <c r="D806" s="9" t="s">
        <v>162</v>
      </c>
    </row>
    <row r="807" spans="1:4">
      <c r="A807" s="15">
        <v>807</v>
      </c>
      <c r="B807" s="3"/>
      <c r="C807" s="15" t="s">
        <v>108</v>
      </c>
      <c r="D807" s="9" t="s">
        <v>162</v>
      </c>
    </row>
    <row r="808" spans="1:4">
      <c r="A808" s="15">
        <v>808</v>
      </c>
      <c r="B808" s="3"/>
      <c r="C808" s="15" t="s">
        <v>109</v>
      </c>
      <c r="D808" s="9" t="s">
        <v>162</v>
      </c>
    </row>
    <row r="809" spans="1:4">
      <c r="A809" s="15">
        <v>809</v>
      </c>
      <c r="B809" s="3"/>
      <c r="C809" s="15" t="s">
        <v>110</v>
      </c>
      <c r="D809" s="9" t="s">
        <v>162</v>
      </c>
    </row>
    <row r="810" spans="1:4">
      <c r="A810" s="15">
        <v>810</v>
      </c>
      <c r="B810" s="3"/>
      <c r="C810" s="15" t="s">
        <v>111</v>
      </c>
      <c r="D810" s="9" t="s">
        <v>162</v>
      </c>
    </row>
    <row r="811" spans="1:4">
      <c r="A811" s="15">
        <v>811</v>
      </c>
      <c r="B811" s="3"/>
      <c r="C811" s="15" t="s">
        <v>112</v>
      </c>
      <c r="D811" s="9" t="s">
        <v>162</v>
      </c>
    </row>
    <row r="812" spans="1:4">
      <c r="A812" s="15">
        <v>812</v>
      </c>
      <c r="B812" s="3"/>
      <c r="C812" s="15" t="s">
        <v>113</v>
      </c>
      <c r="D812" s="9" t="s">
        <v>162</v>
      </c>
    </row>
    <row r="813" spans="1:4">
      <c r="A813" s="15">
        <v>813</v>
      </c>
      <c r="B813" s="3"/>
      <c r="C813" s="15" t="s">
        <v>114</v>
      </c>
      <c r="D813" s="9" t="s">
        <v>162</v>
      </c>
    </row>
    <row r="814" spans="1:4">
      <c r="A814" s="15">
        <v>814</v>
      </c>
      <c r="B814" s="3"/>
      <c r="C814" s="15" t="s">
        <v>115</v>
      </c>
      <c r="D814" s="9" t="s">
        <v>162</v>
      </c>
    </row>
    <row r="815" spans="1:4">
      <c r="A815" s="15">
        <v>815</v>
      </c>
      <c r="B815" s="3"/>
      <c r="C815" s="15" t="s">
        <v>116</v>
      </c>
      <c r="D815" s="9" t="s">
        <v>162</v>
      </c>
    </row>
    <row r="816" spans="1:4">
      <c r="A816" s="15">
        <v>816</v>
      </c>
      <c r="B816" s="3"/>
      <c r="C816" s="15" t="s">
        <v>117</v>
      </c>
      <c r="D816" s="9" t="s">
        <v>162</v>
      </c>
    </row>
    <row r="817" spans="1:4">
      <c r="A817" s="15">
        <v>817</v>
      </c>
      <c r="B817" s="3"/>
      <c r="C817" s="15" t="s">
        <v>118</v>
      </c>
      <c r="D817" s="9" t="s">
        <v>162</v>
      </c>
    </row>
    <row r="818" spans="1:4">
      <c r="A818" s="15">
        <v>818</v>
      </c>
      <c r="B818" s="3"/>
      <c r="C818" s="15" t="s">
        <v>119</v>
      </c>
      <c r="D818" s="9" t="s">
        <v>162</v>
      </c>
    </row>
    <row r="819" spans="1:4">
      <c r="A819" s="15">
        <v>819</v>
      </c>
      <c r="B819" s="3"/>
      <c r="C819" s="15" t="s">
        <v>120</v>
      </c>
      <c r="D819" s="9" t="s">
        <v>162</v>
      </c>
    </row>
    <row r="820" spans="1:4">
      <c r="A820" s="15">
        <v>820</v>
      </c>
      <c r="B820" s="3"/>
      <c r="C820" s="15" t="s">
        <v>122</v>
      </c>
      <c r="D820" s="9" t="s">
        <v>162</v>
      </c>
    </row>
    <row r="821" spans="1:4">
      <c r="A821" s="15">
        <v>821</v>
      </c>
      <c r="B821" s="3"/>
      <c r="C821" s="15" t="s">
        <v>123</v>
      </c>
      <c r="D821" s="9" t="s">
        <v>162</v>
      </c>
    </row>
    <row r="822" spans="1:4">
      <c r="A822" s="15">
        <v>822</v>
      </c>
      <c r="B822" s="3"/>
      <c r="C822" s="15" t="s">
        <v>124</v>
      </c>
      <c r="D822" s="9" t="s">
        <v>162</v>
      </c>
    </row>
    <row r="823" spans="1:4">
      <c r="A823" s="15">
        <v>823</v>
      </c>
      <c r="B823" s="3"/>
      <c r="C823" s="15" t="s">
        <v>125</v>
      </c>
      <c r="D823" s="9" t="s">
        <v>162</v>
      </c>
    </row>
    <row r="824" spans="1:4">
      <c r="A824" s="15">
        <v>824</v>
      </c>
      <c r="B824" s="3"/>
      <c r="C824" s="15" t="s">
        <v>126</v>
      </c>
      <c r="D824" s="9" t="s">
        <v>162</v>
      </c>
    </row>
    <row r="825" spans="1:4">
      <c r="A825" s="15">
        <v>825</v>
      </c>
      <c r="B825" s="3"/>
      <c r="C825" s="15" t="s">
        <v>127</v>
      </c>
      <c r="D825" s="9" t="s">
        <v>162</v>
      </c>
    </row>
    <row r="826" spans="1:4">
      <c r="A826" s="15">
        <v>826</v>
      </c>
      <c r="B826" s="3"/>
      <c r="C826" s="15" t="s">
        <v>128</v>
      </c>
      <c r="D826" s="9" t="s">
        <v>162</v>
      </c>
    </row>
    <row r="827" spans="1:4">
      <c r="A827" s="15">
        <v>827</v>
      </c>
      <c r="B827" s="3"/>
      <c r="C827" s="15" t="s">
        <v>129</v>
      </c>
      <c r="D827" s="9" t="s">
        <v>162</v>
      </c>
    </row>
    <row r="828" spans="1:4">
      <c r="A828" s="15">
        <v>828</v>
      </c>
      <c r="B828" s="3"/>
      <c r="C828" s="15" t="s">
        <v>130</v>
      </c>
      <c r="D828" s="9" t="s">
        <v>162</v>
      </c>
    </row>
    <row r="829" spans="1:4">
      <c r="A829" s="15">
        <v>829</v>
      </c>
      <c r="B829" s="3"/>
      <c r="C829" s="15" t="s">
        <v>131</v>
      </c>
      <c r="D829" s="9" t="s">
        <v>162</v>
      </c>
    </row>
    <row r="830" spans="1:4">
      <c r="A830" s="15">
        <v>830</v>
      </c>
      <c r="B830" s="3"/>
      <c r="C830" s="15" t="s">
        <v>121</v>
      </c>
      <c r="D830" s="9" t="s">
        <v>162</v>
      </c>
    </row>
    <row r="831" spans="1:4">
      <c r="A831" s="15">
        <v>831</v>
      </c>
      <c r="B831" s="3"/>
      <c r="C831" s="17" t="s">
        <v>107</v>
      </c>
      <c r="D831" s="9" t="s">
        <v>163</v>
      </c>
    </row>
    <row r="832" spans="1:4">
      <c r="A832" s="15">
        <v>832</v>
      </c>
      <c r="B832" s="3"/>
      <c r="C832" s="15" t="s">
        <v>108</v>
      </c>
      <c r="D832" s="9" t="s">
        <v>163</v>
      </c>
    </row>
    <row r="833" spans="1:4">
      <c r="A833" s="15">
        <v>833</v>
      </c>
      <c r="B833" s="3"/>
      <c r="C833" s="15" t="s">
        <v>109</v>
      </c>
      <c r="D833" s="9" t="s">
        <v>163</v>
      </c>
    </row>
    <row r="834" spans="1:4">
      <c r="A834" s="15">
        <v>834</v>
      </c>
      <c r="B834" s="3"/>
      <c r="C834" s="15" t="s">
        <v>110</v>
      </c>
      <c r="D834" s="9" t="s">
        <v>163</v>
      </c>
    </row>
    <row r="835" spans="1:4">
      <c r="A835" s="15">
        <v>835</v>
      </c>
      <c r="B835" s="3"/>
      <c r="C835" s="15" t="s">
        <v>111</v>
      </c>
      <c r="D835" s="9" t="s">
        <v>163</v>
      </c>
    </row>
    <row r="836" spans="1:4">
      <c r="A836" s="15">
        <v>836</v>
      </c>
      <c r="B836" s="3"/>
      <c r="C836" s="15" t="s">
        <v>112</v>
      </c>
      <c r="D836" s="9" t="s">
        <v>163</v>
      </c>
    </row>
    <row r="837" spans="1:4">
      <c r="A837" s="15">
        <v>837</v>
      </c>
      <c r="B837" s="3"/>
      <c r="C837" s="15" t="s">
        <v>113</v>
      </c>
      <c r="D837" s="9" t="s">
        <v>163</v>
      </c>
    </row>
    <row r="838" spans="1:4">
      <c r="A838" s="15">
        <v>838</v>
      </c>
      <c r="B838" s="3"/>
      <c r="C838" s="15" t="s">
        <v>114</v>
      </c>
      <c r="D838" s="9" t="s">
        <v>163</v>
      </c>
    </row>
    <row r="839" spans="1:4">
      <c r="A839" s="15">
        <v>839</v>
      </c>
      <c r="B839" s="3"/>
      <c r="C839" s="15" t="s">
        <v>115</v>
      </c>
      <c r="D839" s="9" t="s">
        <v>163</v>
      </c>
    </row>
    <row r="840" spans="1:4">
      <c r="A840" s="15">
        <v>840</v>
      </c>
      <c r="B840" s="3"/>
      <c r="C840" s="15" t="s">
        <v>116</v>
      </c>
      <c r="D840" s="9" t="s">
        <v>163</v>
      </c>
    </row>
    <row r="841" spans="1:4">
      <c r="A841" s="15">
        <v>841</v>
      </c>
      <c r="B841" s="3"/>
      <c r="C841" s="15" t="s">
        <v>117</v>
      </c>
      <c r="D841" s="9" t="s">
        <v>163</v>
      </c>
    </row>
    <row r="842" spans="1:4">
      <c r="A842" s="15">
        <v>842</v>
      </c>
      <c r="B842" s="3"/>
      <c r="C842" s="15" t="s">
        <v>118</v>
      </c>
      <c r="D842" s="9" t="s">
        <v>163</v>
      </c>
    </row>
    <row r="843" spans="1:4">
      <c r="A843" s="15">
        <v>843</v>
      </c>
      <c r="B843" s="3"/>
      <c r="C843" s="15" t="s">
        <v>119</v>
      </c>
      <c r="D843" s="9" t="s">
        <v>163</v>
      </c>
    </row>
    <row r="844" spans="1:4">
      <c r="A844" s="15">
        <v>844</v>
      </c>
      <c r="B844" s="3"/>
      <c r="C844" s="15" t="s">
        <v>120</v>
      </c>
      <c r="D844" s="9" t="s">
        <v>163</v>
      </c>
    </row>
    <row r="845" spans="1:4">
      <c r="A845" s="15">
        <v>845</v>
      </c>
      <c r="B845" s="3"/>
      <c r="C845" s="15" t="s">
        <v>122</v>
      </c>
      <c r="D845" s="9" t="s">
        <v>163</v>
      </c>
    </row>
    <row r="846" spans="1:4">
      <c r="A846" s="15">
        <v>846</v>
      </c>
      <c r="B846" s="3"/>
      <c r="C846" s="15" t="s">
        <v>123</v>
      </c>
      <c r="D846" s="9" t="s">
        <v>163</v>
      </c>
    </row>
    <row r="847" spans="1:4">
      <c r="A847" s="15">
        <v>847</v>
      </c>
      <c r="B847" s="3"/>
      <c r="C847" s="15" t="s">
        <v>124</v>
      </c>
      <c r="D847" s="9" t="s">
        <v>163</v>
      </c>
    </row>
    <row r="848" spans="1:4">
      <c r="A848" s="15">
        <v>848</v>
      </c>
      <c r="B848" s="3"/>
      <c r="C848" s="15" t="s">
        <v>125</v>
      </c>
      <c r="D848" s="9" t="s">
        <v>163</v>
      </c>
    </row>
    <row r="849" spans="1:4">
      <c r="A849" s="15">
        <v>849</v>
      </c>
      <c r="B849" s="3"/>
      <c r="C849" s="15" t="s">
        <v>126</v>
      </c>
      <c r="D849" s="9" t="s">
        <v>163</v>
      </c>
    </row>
    <row r="850" spans="1:4">
      <c r="A850" s="15">
        <v>850</v>
      </c>
      <c r="B850" s="3"/>
      <c r="C850" s="15" t="s">
        <v>127</v>
      </c>
      <c r="D850" s="9" t="s">
        <v>163</v>
      </c>
    </row>
    <row r="851" spans="1:4">
      <c r="A851" s="15">
        <v>851</v>
      </c>
      <c r="B851" s="3"/>
      <c r="C851" s="15" t="s">
        <v>128</v>
      </c>
      <c r="D851" s="9" t="s">
        <v>163</v>
      </c>
    </row>
    <row r="852" spans="1:4">
      <c r="A852" s="15">
        <v>852</v>
      </c>
      <c r="B852" s="3"/>
      <c r="C852" s="15" t="s">
        <v>129</v>
      </c>
      <c r="D852" s="9" t="s">
        <v>163</v>
      </c>
    </row>
    <row r="853" spans="1:4">
      <c r="A853" s="15">
        <v>853</v>
      </c>
      <c r="B853" s="3"/>
      <c r="C853" s="15" t="s">
        <v>130</v>
      </c>
      <c r="D853" s="9" t="s">
        <v>163</v>
      </c>
    </row>
    <row r="854" spans="1:4">
      <c r="A854" s="15">
        <v>854</v>
      </c>
      <c r="B854" s="3"/>
      <c r="C854" s="15" t="s">
        <v>131</v>
      </c>
      <c r="D854" s="9" t="s">
        <v>163</v>
      </c>
    </row>
    <row r="855" spans="1:4">
      <c r="A855" s="15">
        <v>855</v>
      </c>
      <c r="B855" s="3"/>
      <c r="C855" s="15" t="s">
        <v>121</v>
      </c>
      <c r="D855" s="9" t="s">
        <v>163</v>
      </c>
    </row>
    <row r="856" spans="1:4">
      <c r="A856" s="15">
        <v>856</v>
      </c>
      <c r="B856" s="3"/>
      <c r="C856" s="17" t="s">
        <v>107</v>
      </c>
      <c r="D856" s="9" t="s">
        <v>164</v>
      </c>
    </row>
    <row r="857" spans="1:4">
      <c r="A857" s="15">
        <v>857</v>
      </c>
      <c r="B857" s="3"/>
      <c r="C857" s="15" t="s">
        <v>108</v>
      </c>
      <c r="D857" s="9" t="s">
        <v>164</v>
      </c>
    </row>
    <row r="858" spans="1:4">
      <c r="A858" s="15">
        <v>858</v>
      </c>
      <c r="B858" s="3"/>
      <c r="C858" s="15" t="s">
        <v>109</v>
      </c>
      <c r="D858" s="9" t="s">
        <v>164</v>
      </c>
    </row>
    <row r="859" spans="1:4">
      <c r="A859" s="15">
        <v>859</v>
      </c>
      <c r="B859" s="3"/>
      <c r="C859" s="15" t="s">
        <v>110</v>
      </c>
      <c r="D859" s="9" t="s">
        <v>164</v>
      </c>
    </row>
    <row r="860" spans="1:4">
      <c r="A860" s="15">
        <v>860</v>
      </c>
      <c r="B860" s="3"/>
      <c r="C860" s="15" t="s">
        <v>111</v>
      </c>
      <c r="D860" s="9" t="s">
        <v>164</v>
      </c>
    </row>
    <row r="861" spans="1:4">
      <c r="A861" s="15">
        <v>861</v>
      </c>
      <c r="B861" s="3"/>
      <c r="C861" s="15" t="s">
        <v>112</v>
      </c>
      <c r="D861" s="9" t="s">
        <v>164</v>
      </c>
    </row>
    <row r="862" spans="1:4">
      <c r="A862" s="15">
        <v>862</v>
      </c>
      <c r="B862" s="3"/>
      <c r="C862" s="15" t="s">
        <v>113</v>
      </c>
      <c r="D862" s="9" t="s">
        <v>164</v>
      </c>
    </row>
    <row r="863" spans="1:4">
      <c r="A863" s="15">
        <v>863</v>
      </c>
      <c r="B863" s="3"/>
      <c r="C863" s="15" t="s">
        <v>114</v>
      </c>
      <c r="D863" s="9" t="s">
        <v>164</v>
      </c>
    </row>
    <row r="864" spans="1:4">
      <c r="A864" s="15">
        <v>864</v>
      </c>
      <c r="B864" s="3"/>
      <c r="C864" s="15" t="s">
        <v>115</v>
      </c>
      <c r="D864" s="9" t="s">
        <v>164</v>
      </c>
    </row>
    <row r="865" spans="1:4">
      <c r="A865" s="15">
        <v>865</v>
      </c>
      <c r="B865" s="3"/>
      <c r="C865" s="15" t="s">
        <v>116</v>
      </c>
      <c r="D865" s="9" t="s">
        <v>164</v>
      </c>
    </row>
    <row r="866" spans="1:4">
      <c r="A866" s="15">
        <v>866</v>
      </c>
      <c r="B866" s="3"/>
      <c r="C866" s="15" t="s">
        <v>117</v>
      </c>
      <c r="D866" s="9" t="s">
        <v>164</v>
      </c>
    </row>
    <row r="867" spans="1:4">
      <c r="A867" s="15">
        <v>867</v>
      </c>
      <c r="B867" s="3"/>
      <c r="C867" s="15" t="s">
        <v>118</v>
      </c>
      <c r="D867" s="9" t="s">
        <v>164</v>
      </c>
    </row>
    <row r="868" spans="1:4">
      <c r="A868" s="15">
        <v>868</v>
      </c>
      <c r="B868" s="3"/>
      <c r="C868" s="15" t="s">
        <v>119</v>
      </c>
      <c r="D868" s="9" t="s">
        <v>164</v>
      </c>
    </row>
    <row r="869" spans="1:4">
      <c r="A869" s="15">
        <v>869</v>
      </c>
      <c r="B869" s="3"/>
      <c r="C869" s="15" t="s">
        <v>120</v>
      </c>
      <c r="D869" s="9" t="s">
        <v>164</v>
      </c>
    </row>
    <row r="870" spans="1:4">
      <c r="A870" s="15">
        <v>870</v>
      </c>
      <c r="B870" s="3"/>
      <c r="C870" s="15" t="s">
        <v>122</v>
      </c>
      <c r="D870" s="9" t="s">
        <v>164</v>
      </c>
    </row>
    <row r="871" spans="1:4">
      <c r="A871" s="15">
        <v>871</v>
      </c>
      <c r="B871" s="3"/>
      <c r="C871" s="15" t="s">
        <v>123</v>
      </c>
      <c r="D871" s="9" t="s">
        <v>164</v>
      </c>
    </row>
    <row r="872" spans="1:4">
      <c r="A872" s="15">
        <v>872</v>
      </c>
      <c r="B872" s="3"/>
      <c r="C872" s="15" t="s">
        <v>124</v>
      </c>
      <c r="D872" s="9" t="s">
        <v>164</v>
      </c>
    </row>
    <row r="873" spans="1:4">
      <c r="A873" s="15">
        <v>873</v>
      </c>
      <c r="B873" s="3"/>
      <c r="C873" s="15" t="s">
        <v>125</v>
      </c>
      <c r="D873" s="9" t="s">
        <v>164</v>
      </c>
    </row>
    <row r="874" spans="1:4">
      <c r="A874" s="15">
        <v>874</v>
      </c>
      <c r="B874" s="3"/>
      <c r="C874" s="15" t="s">
        <v>126</v>
      </c>
      <c r="D874" s="9" t="s">
        <v>164</v>
      </c>
    </row>
    <row r="875" spans="1:4">
      <c r="A875" s="15">
        <v>875</v>
      </c>
      <c r="B875" s="3"/>
      <c r="C875" s="15" t="s">
        <v>127</v>
      </c>
      <c r="D875" s="9" t="s">
        <v>164</v>
      </c>
    </row>
    <row r="876" spans="1:4">
      <c r="A876" s="15">
        <v>876</v>
      </c>
      <c r="B876" s="3"/>
      <c r="C876" s="15" t="s">
        <v>128</v>
      </c>
      <c r="D876" s="9" t="s">
        <v>164</v>
      </c>
    </row>
    <row r="877" spans="1:4">
      <c r="A877" s="15">
        <v>877</v>
      </c>
      <c r="B877" s="3"/>
      <c r="C877" s="15" t="s">
        <v>129</v>
      </c>
      <c r="D877" s="9" t="s">
        <v>164</v>
      </c>
    </row>
    <row r="878" spans="1:4">
      <c r="A878" s="15">
        <v>878</v>
      </c>
      <c r="B878" s="3"/>
      <c r="C878" s="15" t="s">
        <v>130</v>
      </c>
      <c r="D878" s="9" t="s">
        <v>164</v>
      </c>
    </row>
    <row r="879" spans="1:4">
      <c r="A879" s="15">
        <v>879</v>
      </c>
      <c r="B879" s="3"/>
      <c r="C879" s="15" t="s">
        <v>131</v>
      </c>
      <c r="D879" s="9" t="s">
        <v>164</v>
      </c>
    </row>
    <row r="880" spans="1:4">
      <c r="A880" s="15">
        <v>880</v>
      </c>
      <c r="B880" s="3"/>
      <c r="C880" s="15" t="s">
        <v>121</v>
      </c>
      <c r="D880" s="9" t="s">
        <v>164</v>
      </c>
    </row>
    <row r="881" spans="1:4">
      <c r="A881" s="15">
        <v>881</v>
      </c>
      <c r="B881" s="3"/>
      <c r="C881" s="17" t="s">
        <v>107</v>
      </c>
      <c r="D881" s="9" t="s">
        <v>165</v>
      </c>
    </row>
    <row r="882" spans="1:4">
      <c r="A882" s="15">
        <v>882</v>
      </c>
      <c r="B882" s="3"/>
      <c r="C882" s="15" t="s">
        <v>108</v>
      </c>
      <c r="D882" s="9" t="s">
        <v>165</v>
      </c>
    </row>
    <row r="883" spans="1:4">
      <c r="A883" s="15">
        <v>883</v>
      </c>
      <c r="B883" s="3"/>
      <c r="C883" s="15" t="s">
        <v>109</v>
      </c>
      <c r="D883" s="9" t="s">
        <v>165</v>
      </c>
    </row>
    <row r="884" spans="1:4">
      <c r="A884" s="15">
        <v>884</v>
      </c>
      <c r="B884" s="3"/>
      <c r="C884" s="15" t="s">
        <v>110</v>
      </c>
      <c r="D884" s="9" t="s">
        <v>165</v>
      </c>
    </row>
    <row r="885" spans="1:4">
      <c r="A885" s="15">
        <v>885</v>
      </c>
      <c r="B885" s="3"/>
      <c r="C885" s="15" t="s">
        <v>111</v>
      </c>
      <c r="D885" s="9" t="s">
        <v>165</v>
      </c>
    </row>
    <row r="886" spans="1:4">
      <c r="A886" s="15">
        <v>886</v>
      </c>
      <c r="B886" s="3"/>
      <c r="C886" s="15" t="s">
        <v>112</v>
      </c>
      <c r="D886" s="9" t="s">
        <v>165</v>
      </c>
    </row>
    <row r="887" spans="1:4">
      <c r="A887" s="15">
        <v>887</v>
      </c>
      <c r="B887" s="3"/>
      <c r="C887" s="15" t="s">
        <v>113</v>
      </c>
      <c r="D887" s="9" t="s">
        <v>165</v>
      </c>
    </row>
    <row r="888" spans="1:4">
      <c r="A888" s="15">
        <v>888</v>
      </c>
      <c r="B888" s="3"/>
      <c r="C888" s="15" t="s">
        <v>114</v>
      </c>
      <c r="D888" s="9" t="s">
        <v>165</v>
      </c>
    </row>
    <row r="889" spans="1:4">
      <c r="A889" s="15">
        <v>889</v>
      </c>
      <c r="B889" s="3"/>
      <c r="C889" s="15" t="s">
        <v>115</v>
      </c>
      <c r="D889" s="9" t="s">
        <v>165</v>
      </c>
    </row>
    <row r="890" spans="1:4">
      <c r="A890" s="15">
        <v>890</v>
      </c>
      <c r="B890" s="3"/>
      <c r="C890" s="15" t="s">
        <v>116</v>
      </c>
      <c r="D890" s="9" t="s">
        <v>165</v>
      </c>
    </row>
    <row r="891" spans="1:4">
      <c r="A891" s="15">
        <v>891</v>
      </c>
      <c r="B891" s="3"/>
      <c r="C891" s="15" t="s">
        <v>117</v>
      </c>
      <c r="D891" s="9" t="s">
        <v>165</v>
      </c>
    </row>
    <row r="892" spans="1:4">
      <c r="A892" s="15">
        <v>892</v>
      </c>
      <c r="B892" s="3"/>
      <c r="C892" s="15" t="s">
        <v>118</v>
      </c>
      <c r="D892" s="9" t="s">
        <v>165</v>
      </c>
    </row>
    <row r="893" spans="1:4">
      <c r="A893" s="15">
        <v>893</v>
      </c>
      <c r="B893" s="3"/>
      <c r="C893" s="15" t="s">
        <v>119</v>
      </c>
      <c r="D893" s="9" t="s">
        <v>165</v>
      </c>
    </row>
    <row r="894" spans="1:4">
      <c r="A894" s="15">
        <v>894</v>
      </c>
      <c r="B894" s="3"/>
      <c r="C894" s="15" t="s">
        <v>120</v>
      </c>
      <c r="D894" s="9" t="s">
        <v>165</v>
      </c>
    </row>
    <row r="895" spans="1:4">
      <c r="A895" s="15">
        <v>895</v>
      </c>
      <c r="B895" s="3"/>
      <c r="C895" s="15" t="s">
        <v>122</v>
      </c>
      <c r="D895" s="9" t="s">
        <v>165</v>
      </c>
    </row>
    <row r="896" spans="1:4">
      <c r="A896" s="15">
        <v>896</v>
      </c>
      <c r="B896" s="3"/>
      <c r="C896" s="15" t="s">
        <v>123</v>
      </c>
      <c r="D896" s="9" t="s">
        <v>165</v>
      </c>
    </row>
    <row r="897" spans="1:4">
      <c r="A897" s="15">
        <v>897</v>
      </c>
      <c r="B897" s="3"/>
      <c r="C897" s="15" t="s">
        <v>124</v>
      </c>
      <c r="D897" s="9" t="s">
        <v>165</v>
      </c>
    </row>
    <row r="898" spans="1:4">
      <c r="A898" s="15">
        <v>898</v>
      </c>
      <c r="B898" s="3"/>
      <c r="C898" s="15" t="s">
        <v>125</v>
      </c>
      <c r="D898" s="9" t="s">
        <v>165</v>
      </c>
    </row>
    <row r="899" spans="1:4">
      <c r="A899" s="15">
        <v>899</v>
      </c>
      <c r="B899" s="3"/>
      <c r="C899" s="15" t="s">
        <v>126</v>
      </c>
      <c r="D899" s="9" t="s">
        <v>165</v>
      </c>
    </row>
    <row r="900" spans="1:4">
      <c r="A900" s="15">
        <v>900</v>
      </c>
      <c r="B900" s="3"/>
      <c r="C900" s="15" t="s">
        <v>127</v>
      </c>
      <c r="D900" s="9" t="s">
        <v>165</v>
      </c>
    </row>
    <row r="901" spans="1:4">
      <c r="A901" s="15">
        <v>901</v>
      </c>
      <c r="B901" s="3"/>
      <c r="C901" s="15" t="s">
        <v>128</v>
      </c>
      <c r="D901" s="9" t="s">
        <v>165</v>
      </c>
    </row>
    <row r="902" spans="1:4">
      <c r="A902" s="15">
        <v>902</v>
      </c>
      <c r="B902" s="3"/>
      <c r="C902" s="15" t="s">
        <v>129</v>
      </c>
      <c r="D902" s="9" t="s">
        <v>165</v>
      </c>
    </row>
    <row r="903" spans="1:4">
      <c r="A903" s="15">
        <v>903</v>
      </c>
      <c r="B903" s="3"/>
      <c r="C903" s="15" t="s">
        <v>130</v>
      </c>
      <c r="D903" s="9" t="s">
        <v>165</v>
      </c>
    </row>
    <row r="904" spans="1:4">
      <c r="A904" s="15">
        <v>904</v>
      </c>
      <c r="B904" s="3"/>
      <c r="C904" s="15" t="s">
        <v>131</v>
      </c>
      <c r="D904" s="9" t="s">
        <v>165</v>
      </c>
    </row>
    <row r="905" spans="1:4">
      <c r="A905" s="15">
        <v>905</v>
      </c>
      <c r="B905" s="3"/>
      <c r="C905" s="15" t="s">
        <v>121</v>
      </c>
      <c r="D905" s="9" t="s">
        <v>165</v>
      </c>
    </row>
    <row r="906" spans="1:4">
      <c r="A906" s="15">
        <v>906</v>
      </c>
      <c r="B906" s="3"/>
      <c r="C906" s="17" t="s">
        <v>107</v>
      </c>
      <c r="D906" s="9" t="s">
        <v>166</v>
      </c>
    </row>
    <row r="907" spans="1:4">
      <c r="A907" s="15">
        <v>907</v>
      </c>
      <c r="B907" s="3"/>
      <c r="C907" s="15" t="s">
        <v>108</v>
      </c>
      <c r="D907" s="9" t="s">
        <v>166</v>
      </c>
    </row>
    <row r="908" spans="1:4">
      <c r="A908" s="15">
        <v>908</v>
      </c>
      <c r="B908" s="3"/>
      <c r="C908" s="15" t="s">
        <v>109</v>
      </c>
      <c r="D908" s="9" t="s">
        <v>166</v>
      </c>
    </row>
    <row r="909" spans="1:4">
      <c r="A909" s="15">
        <v>909</v>
      </c>
      <c r="B909" s="3"/>
      <c r="C909" s="15" t="s">
        <v>110</v>
      </c>
      <c r="D909" s="9" t="s">
        <v>166</v>
      </c>
    </row>
    <row r="910" spans="1:4">
      <c r="A910" s="15">
        <v>910</v>
      </c>
      <c r="B910" s="3"/>
      <c r="C910" s="15" t="s">
        <v>111</v>
      </c>
      <c r="D910" s="9" t="s">
        <v>166</v>
      </c>
    </row>
    <row r="911" spans="1:4">
      <c r="A911" s="15">
        <v>911</v>
      </c>
      <c r="B911" s="3"/>
      <c r="C911" s="15" t="s">
        <v>112</v>
      </c>
      <c r="D911" s="9" t="s">
        <v>166</v>
      </c>
    </row>
    <row r="912" spans="1:4">
      <c r="A912" s="15">
        <v>912</v>
      </c>
      <c r="B912" s="3"/>
      <c r="C912" s="15" t="s">
        <v>113</v>
      </c>
      <c r="D912" s="9" t="s">
        <v>166</v>
      </c>
    </row>
    <row r="913" spans="1:4">
      <c r="A913" s="15">
        <v>913</v>
      </c>
      <c r="B913" s="3"/>
      <c r="C913" s="15" t="s">
        <v>114</v>
      </c>
      <c r="D913" s="9" t="s">
        <v>166</v>
      </c>
    </row>
    <row r="914" spans="1:4">
      <c r="A914" s="15">
        <v>914</v>
      </c>
      <c r="B914" s="3"/>
      <c r="C914" s="15" t="s">
        <v>115</v>
      </c>
      <c r="D914" s="9" t="s">
        <v>166</v>
      </c>
    </row>
    <row r="915" spans="1:4">
      <c r="A915" s="15">
        <v>915</v>
      </c>
      <c r="B915" s="3"/>
      <c r="C915" s="15" t="s">
        <v>116</v>
      </c>
      <c r="D915" s="9" t="s">
        <v>166</v>
      </c>
    </row>
    <row r="916" spans="1:4">
      <c r="A916" s="15">
        <v>916</v>
      </c>
      <c r="B916" s="3"/>
      <c r="C916" s="15" t="s">
        <v>117</v>
      </c>
      <c r="D916" s="9" t="s">
        <v>166</v>
      </c>
    </row>
    <row r="917" spans="1:4">
      <c r="A917" s="15">
        <v>917</v>
      </c>
      <c r="B917" s="3"/>
      <c r="C917" s="15" t="s">
        <v>118</v>
      </c>
      <c r="D917" s="9" t="s">
        <v>166</v>
      </c>
    </row>
    <row r="918" spans="1:4">
      <c r="A918" s="15">
        <v>918</v>
      </c>
      <c r="B918" s="3"/>
      <c r="C918" s="15" t="s">
        <v>119</v>
      </c>
      <c r="D918" s="9" t="s">
        <v>166</v>
      </c>
    </row>
    <row r="919" spans="1:4">
      <c r="A919" s="15">
        <v>919</v>
      </c>
      <c r="B919" s="3"/>
      <c r="C919" s="15" t="s">
        <v>120</v>
      </c>
      <c r="D919" s="9" t="s">
        <v>166</v>
      </c>
    </row>
    <row r="920" spans="1:4">
      <c r="A920" s="15">
        <v>920</v>
      </c>
      <c r="B920" s="3"/>
      <c r="C920" s="15" t="s">
        <v>122</v>
      </c>
      <c r="D920" s="9" t="s">
        <v>166</v>
      </c>
    </row>
    <row r="921" spans="1:4">
      <c r="A921" s="15">
        <v>921</v>
      </c>
      <c r="B921" s="3"/>
      <c r="C921" s="15" t="s">
        <v>123</v>
      </c>
      <c r="D921" s="9" t="s">
        <v>166</v>
      </c>
    </row>
    <row r="922" spans="1:4">
      <c r="A922" s="15">
        <v>922</v>
      </c>
      <c r="B922" s="3"/>
      <c r="C922" s="15" t="s">
        <v>124</v>
      </c>
      <c r="D922" s="9" t="s">
        <v>166</v>
      </c>
    </row>
    <row r="923" spans="1:4">
      <c r="A923" s="15">
        <v>923</v>
      </c>
      <c r="B923" s="3"/>
      <c r="C923" s="15" t="s">
        <v>125</v>
      </c>
      <c r="D923" s="9" t="s">
        <v>166</v>
      </c>
    </row>
    <row r="924" spans="1:4">
      <c r="A924" s="15">
        <v>924</v>
      </c>
      <c r="B924" s="3"/>
      <c r="C924" s="15" t="s">
        <v>126</v>
      </c>
      <c r="D924" s="9" t="s">
        <v>166</v>
      </c>
    </row>
    <row r="925" spans="1:4">
      <c r="A925" s="15">
        <v>925</v>
      </c>
      <c r="B925" s="3"/>
      <c r="C925" s="15" t="s">
        <v>127</v>
      </c>
      <c r="D925" s="9" t="s">
        <v>166</v>
      </c>
    </row>
    <row r="926" spans="1:4">
      <c r="A926" s="15">
        <v>926</v>
      </c>
      <c r="B926" s="3"/>
      <c r="C926" s="15" t="s">
        <v>128</v>
      </c>
      <c r="D926" s="9" t="s">
        <v>166</v>
      </c>
    </row>
    <row r="927" spans="1:4">
      <c r="A927" s="15">
        <v>927</v>
      </c>
      <c r="B927" s="3"/>
      <c r="C927" s="15" t="s">
        <v>129</v>
      </c>
      <c r="D927" s="9" t="s">
        <v>166</v>
      </c>
    </row>
    <row r="928" spans="1:4">
      <c r="A928" s="15">
        <v>928</v>
      </c>
      <c r="B928" s="3"/>
      <c r="C928" s="15" t="s">
        <v>130</v>
      </c>
      <c r="D928" s="9" t="s">
        <v>166</v>
      </c>
    </row>
    <row r="929" spans="1:4">
      <c r="A929" s="15">
        <v>929</v>
      </c>
      <c r="B929" s="3"/>
      <c r="C929" s="15" t="s">
        <v>131</v>
      </c>
      <c r="D929" s="9" t="s">
        <v>166</v>
      </c>
    </row>
    <row r="930" spans="1:4">
      <c r="A930" s="15">
        <v>930</v>
      </c>
      <c r="B930" s="3"/>
      <c r="C930" s="15" t="s">
        <v>121</v>
      </c>
      <c r="D930" s="9" t="s">
        <v>166</v>
      </c>
    </row>
    <row r="931" spans="1:4">
      <c r="A931" s="15">
        <v>931</v>
      </c>
      <c r="B931" s="3"/>
      <c r="C931" s="17" t="s">
        <v>107</v>
      </c>
      <c r="D931" s="9" t="s">
        <v>167</v>
      </c>
    </row>
    <row r="932" spans="1:4">
      <c r="A932" s="15">
        <v>932</v>
      </c>
      <c r="B932" s="3"/>
      <c r="C932" s="15" t="s">
        <v>108</v>
      </c>
      <c r="D932" s="9" t="s">
        <v>167</v>
      </c>
    </row>
    <row r="933" spans="1:4">
      <c r="A933" s="15">
        <v>933</v>
      </c>
      <c r="B933" s="3"/>
      <c r="C933" s="15" t="s">
        <v>109</v>
      </c>
      <c r="D933" s="9" t="s">
        <v>167</v>
      </c>
    </row>
    <row r="934" spans="1:4">
      <c r="A934" s="15">
        <v>934</v>
      </c>
      <c r="B934" s="3"/>
      <c r="C934" s="15" t="s">
        <v>110</v>
      </c>
      <c r="D934" s="9" t="s">
        <v>167</v>
      </c>
    </row>
    <row r="935" spans="1:4">
      <c r="A935" s="15">
        <v>935</v>
      </c>
      <c r="B935" s="3"/>
      <c r="C935" s="15" t="s">
        <v>111</v>
      </c>
      <c r="D935" s="9" t="s">
        <v>167</v>
      </c>
    </row>
    <row r="936" spans="1:4">
      <c r="A936" s="15">
        <v>936</v>
      </c>
      <c r="B936" s="3"/>
      <c r="C936" s="15" t="s">
        <v>112</v>
      </c>
      <c r="D936" s="9" t="s">
        <v>167</v>
      </c>
    </row>
    <row r="937" spans="1:4">
      <c r="A937" s="15">
        <v>937</v>
      </c>
      <c r="B937" s="3"/>
      <c r="C937" s="15" t="s">
        <v>113</v>
      </c>
      <c r="D937" s="9" t="s">
        <v>167</v>
      </c>
    </row>
    <row r="938" spans="1:4">
      <c r="A938" s="15">
        <v>938</v>
      </c>
      <c r="B938" s="3"/>
      <c r="C938" s="15" t="s">
        <v>114</v>
      </c>
      <c r="D938" s="9" t="s">
        <v>167</v>
      </c>
    </row>
    <row r="939" spans="1:4">
      <c r="A939" s="15">
        <v>939</v>
      </c>
      <c r="B939" s="3"/>
      <c r="C939" s="15" t="s">
        <v>115</v>
      </c>
      <c r="D939" s="9" t="s">
        <v>167</v>
      </c>
    </row>
    <row r="940" spans="1:4">
      <c r="A940" s="15">
        <v>940</v>
      </c>
      <c r="B940" s="3"/>
      <c r="C940" s="15" t="s">
        <v>116</v>
      </c>
      <c r="D940" s="9" t="s">
        <v>167</v>
      </c>
    </row>
    <row r="941" spans="1:4">
      <c r="A941" s="15">
        <v>941</v>
      </c>
      <c r="B941" s="3"/>
      <c r="C941" s="15" t="s">
        <v>117</v>
      </c>
      <c r="D941" s="9" t="s">
        <v>167</v>
      </c>
    </row>
    <row r="942" spans="1:4">
      <c r="A942" s="15">
        <v>942</v>
      </c>
      <c r="B942" s="3"/>
      <c r="C942" s="15" t="s">
        <v>118</v>
      </c>
      <c r="D942" s="9" t="s">
        <v>167</v>
      </c>
    </row>
    <row r="943" spans="1:4">
      <c r="A943" s="15">
        <v>943</v>
      </c>
      <c r="B943" s="3"/>
      <c r="C943" s="15" t="s">
        <v>119</v>
      </c>
      <c r="D943" s="9" t="s">
        <v>167</v>
      </c>
    </row>
    <row r="944" spans="1:4">
      <c r="A944" s="15">
        <v>944</v>
      </c>
      <c r="B944" s="3"/>
      <c r="C944" s="15" t="s">
        <v>120</v>
      </c>
      <c r="D944" s="9" t="s">
        <v>167</v>
      </c>
    </row>
    <row r="945" spans="1:4">
      <c r="A945" s="15">
        <v>945</v>
      </c>
      <c r="B945" s="3"/>
      <c r="C945" s="15" t="s">
        <v>122</v>
      </c>
      <c r="D945" s="9" t="s">
        <v>167</v>
      </c>
    </row>
    <row r="946" spans="1:4">
      <c r="A946" s="15">
        <v>946</v>
      </c>
      <c r="B946" s="3"/>
      <c r="C946" s="15" t="s">
        <v>123</v>
      </c>
      <c r="D946" s="9" t="s">
        <v>167</v>
      </c>
    </row>
    <row r="947" spans="1:4">
      <c r="A947" s="15">
        <v>947</v>
      </c>
      <c r="B947" s="3"/>
      <c r="C947" s="15" t="s">
        <v>124</v>
      </c>
      <c r="D947" s="9" t="s">
        <v>167</v>
      </c>
    </row>
    <row r="948" spans="1:4">
      <c r="A948" s="15">
        <v>948</v>
      </c>
      <c r="B948" s="3"/>
      <c r="C948" s="15" t="s">
        <v>125</v>
      </c>
      <c r="D948" s="9" t="s">
        <v>167</v>
      </c>
    </row>
    <row r="949" spans="1:4">
      <c r="A949" s="15">
        <v>949</v>
      </c>
      <c r="B949" s="3"/>
      <c r="C949" s="15" t="s">
        <v>126</v>
      </c>
      <c r="D949" s="9" t="s">
        <v>167</v>
      </c>
    </row>
    <row r="950" spans="1:4">
      <c r="A950" s="15">
        <v>950</v>
      </c>
      <c r="B950" s="3"/>
      <c r="C950" s="15" t="s">
        <v>127</v>
      </c>
      <c r="D950" s="9" t="s">
        <v>167</v>
      </c>
    </row>
    <row r="951" spans="1:4">
      <c r="A951" s="15">
        <v>951</v>
      </c>
      <c r="B951" s="3"/>
      <c r="C951" s="15" t="s">
        <v>128</v>
      </c>
      <c r="D951" s="9" t="s">
        <v>167</v>
      </c>
    </row>
    <row r="952" spans="1:4">
      <c r="A952" s="15">
        <v>952</v>
      </c>
      <c r="B952" s="3"/>
      <c r="C952" s="15" t="s">
        <v>129</v>
      </c>
      <c r="D952" s="9" t="s">
        <v>167</v>
      </c>
    </row>
    <row r="953" spans="1:4">
      <c r="A953" s="15">
        <v>953</v>
      </c>
      <c r="B953" s="3"/>
      <c r="C953" s="15" t="s">
        <v>130</v>
      </c>
      <c r="D953" s="9" t="s">
        <v>167</v>
      </c>
    </row>
    <row r="954" spans="1:4">
      <c r="A954" s="15">
        <v>954</v>
      </c>
      <c r="B954" s="3"/>
      <c r="C954" s="15" t="s">
        <v>131</v>
      </c>
      <c r="D954" s="9" t="s">
        <v>167</v>
      </c>
    </row>
    <row r="955" spans="1:4">
      <c r="A955" s="15">
        <v>955</v>
      </c>
      <c r="B955" s="3"/>
      <c r="C955" s="15" t="s">
        <v>121</v>
      </c>
      <c r="D955" s="9" t="s">
        <v>167</v>
      </c>
    </row>
    <row r="956" spans="1:4">
      <c r="A956" s="15">
        <v>956</v>
      </c>
      <c r="B956" s="3"/>
      <c r="C956" s="17" t="s">
        <v>107</v>
      </c>
      <c r="D956" s="9" t="s">
        <v>168</v>
      </c>
    </row>
    <row r="957" spans="1:4">
      <c r="A957" s="15">
        <v>957</v>
      </c>
      <c r="B957" s="3"/>
      <c r="C957" s="15" t="s">
        <v>108</v>
      </c>
      <c r="D957" s="9" t="s">
        <v>168</v>
      </c>
    </row>
    <row r="958" spans="1:4">
      <c r="A958" s="15">
        <v>958</v>
      </c>
      <c r="B958" s="3"/>
      <c r="C958" s="15" t="s">
        <v>109</v>
      </c>
      <c r="D958" s="9" t="s">
        <v>168</v>
      </c>
    </row>
    <row r="959" spans="1:4">
      <c r="A959" s="15">
        <v>959</v>
      </c>
      <c r="B959" s="3"/>
      <c r="C959" s="15" t="s">
        <v>110</v>
      </c>
      <c r="D959" s="9" t="s">
        <v>168</v>
      </c>
    </row>
    <row r="960" spans="1:4">
      <c r="A960" s="15">
        <v>960</v>
      </c>
      <c r="B960" s="3"/>
      <c r="C960" s="15" t="s">
        <v>111</v>
      </c>
      <c r="D960" s="9" t="s">
        <v>168</v>
      </c>
    </row>
    <row r="961" spans="1:4">
      <c r="A961" s="15">
        <v>961</v>
      </c>
      <c r="B961" s="3"/>
      <c r="C961" s="15" t="s">
        <v>112</v>
      </c>
      <c r="D961" s="9" t="s">
        <v>168</v>
      </c>
    </row>
    <row r="962" spans="1:4">
      <c r="A962" s="15">
        <v>962</v>
      </c>
      <c r="B962" s="3"/>
      <c r="C962" s="15" t="s">
        <v>113</v>
      </c>
      <c r="D962" s="9" t="s">
        <v>168</v>
      </c>
    </row>
    <row r="963" spans="1:4">
      <c r="A963" s="15">
        <v>963</v>
      </c>
      <c r="B963" s="3"/>
      <c r="C963" s="15" t="s">
        <v>114</v>
      </c>
      <c r="D963" s="9" t="s">
        <v>168</v>
      </c>
    </row>
    <row r="964" spans="1:4">
      <c r="A964" s="15">
        <v>964</v>
      </c>
      <c r="B964" s="3"/>
      <c r="C964" s="15" t="s">
        <v>115</v>
      </c>
      <c r="D964" s="9" t="s">
        <v>168</v>
      </c>
    </row>
    <row r="965" spans="1:4">
      <c r="A965" s="15">
        <v>965</v>
      </c>
      <c r="B965" s="3"/>
      <c r="C965" s="15" t="s">
        <v>116</v>
      </c>
      <c r="D965" s="9" t="s">
        <v>168</v>
      </c>
    </row>
    <row r="966" spans="1:4">
      <c r="A966" s="15">
        <v>966</v>
      </c>
      <c r="B966" s="3"/>
      <c r="C966" s="15" t="s">
        <v>117</v>
      </c>
      <c r="D966" s="9" t="s">
        <v>168</v>
      </c>
    </row>
    <row r="967" spans="1:4">
      <c r="A967" s="15">
        <v>967</v>
      </c>
      <c r="B967" s="3"/>
      <c r="C967" s="15" t="s">
        <v>118</v>
      </c>
      <c r="D967" s="9" t="s">
        <v>168</v>
      </c>
    </row>
    <row r="968" spans="1:4">
      <c r="A968" s="15">
        <v>968</v>
      </c>
      <c r="B968" s="3"/>
      <c r="C968" s="15" t="s">
        <v>119</v>
      </c>
      <c r="D968" s="9" t="s">
        <v>168</v>
      </c>
    </row>
    <row r="969" spans="1:4">
      <c r="A969" s="15">
        <v>969</v>
      </c>
      <c r="B969" s="3"/>
      <c r="C969" s="15" t="s">
        <v>120</v>
      </c>
      <c r="D969" s="9" t="s">
        <v>168</v>
      </c>
    </row>
    <row r="970" spans="1:4">
      <c r="A970" s="15">
        <v>970</v>
      </c>
      <c r="B970" s="3"/>
      <c r="C970" s="15" t="s">
        <v>122</v>
      </c>
      <c r="D970" s="9" t="s">
        <v>168</v>
      </c>
    </row>
    <row r="971" spans="1:4">
      <c r="A971" s="15">
        <v>971</v>
      </c>
      <c r="B971" s="3"/>
      <c r="C971" s="15" t="s">
        <v>123</v>
      </c>
      <c r="D971" s="9" t="s">
        <v>168</v>
      </c>
    </row>
    <row r="972" spans="1:4">
      <c r="A972" s="15">
        <v>972</v>
      </c>
      <c r="B972" s="3"/>
      <c r="C972" s="15" t="s">
        <v>124</v>
      </c>
      <c r="D972" s="9" t="s">
        <v>168</v>
      </c>
    </row>
    <row r="973" spans="1:4">
      <c r="A973" s="15">
        <v>973</v>
      </c>
      <c r="B973" s="3"/>
      <c r="C973" s="15" t="s">
        <v>125</v>
      </c>
      <c r="D973" s="9" t="s">
        <v>168</v>
      </c>
    </row>
    <row r="974" spans="1:4">
      <c r="A974" s="15">
        <v>974</v>
      </c>
      <c r="B974" s="3"/>
      <c r="C974" s="15" t="s">
        <v>126</v>
      </c>
      <c r="D974" s="9" t="s">
        <v>168</v>
      </c>
    </row>
    <row r="975" spans="1:4">
      <c r="A975" s="15">
        <v>975</v>
      </c>
      <c r="B975" s="3"/>
      <c r="C975" s="15" t="s">
        <v>127</v>
      </c>
      <c r="D975" s="9" t="s">
        <v>168</v>
      </c>
    </row>
    <row r="976" spans="1:4">
      <c r="A976" s="15">
        <v>976</v>
      </c>
      <c r="B976" s="3"/>
      <c r="C976" s="15" t="s">
        <v>128</v>
      </c>
      <c r="D976" s="9" t="s">
        <v>168</v>
      </c>
    </row>
    <row r="977" spans="1:4">
      <c r="A977" s="15">
        <v>977</v>
      </c>
      <c r="B977" s="3"/>
      <c r="C977" s="15" t="s">
        <v>129</v>
      </c>
      <c r="D977" s="9" t="s">
        <v>168</v>
      </c>
    </row>
    <row r="978" spans="1:4">
      <c r="A978" s="15">
        <v>978</v>
      </c>
      <c r="B978" s="3"/>
      <c r="C978" s="15" t="s">
        <v>130</v>
      </c>
      <c r="D978" s="9" t="s">
        <v>168</v>
      </c>
    </row>
    <row r="979" spans="1:4">
      <c r="A979" s="15">
        <v>979</v>
      </c>
      <c r="B979" s="3"/>
      <c r="C979" s="15" t="s">
        <v>131</v>
      </c>
      <c r="D979" s="9" t="s">
        <v>168</v>
      </c>
    </row>
    <row r="980" spans="1:4">
      <c r="A980" s="15">
        <v>980</v>
      </c>
      <c r="B980" s="3"/>
      <c r="C980" s="15" t="s">
        <v>121</v>
      </c>
      <c r="D980" s="9" t="s">
        <v>168</v>
      </c>
    </row>
    <row r="981" spans="1:4">
      <c r="A981" s="15">
        <v>981</v>
      </c>
      <c r="B981" s="3"/>
      <c r="C981" s="17" t="s">
        <v>107</v>
      </c>
      <c r="D981" s="9" t="s">
        <v>169</v>
      </c>
    </row>
    <row r="982" spans="1:4">
      <c r="A982" s="15">
        <v>982</v>
      </c>
      <c r="B982" s="3"/>
      <c r="C982" s="15" t="s">
        <v>108</v>
      </c>
      <c r="D982" s="9" t="s">
        <v>169</v>
      </c>
    </row>
    <row r="983" spans="1:4">
      <c r="A983" s="15">
        <v>983</v>
      </c>
      <c r="B983" s="3"/>
      <c r="C983" s="15" t="s">
        <v>109</v>
      </c>
      <c r="D983" s="9" t="s">
        <v>169</v>
      </c>
    </row>
    <row r="984" spans="1:4">
      <c r="A984" s="15">
        <v>984</v>
      </c>
      <c r="B984" s="3"/>
      <c r="C984" s="15" t="s">
        <v>110</v>
      </c>
      <c r="D984" s="9" t="s">
        <v>169</v>
      </c>
    </row>
    <row r="985" spans="1:4">
      <c r="A985" s="15">
        <v>985</v>
      </c>
      <c r="B985" s="3"/>
      <c r="C985" s="15" t="s">
        <v>111</v>
      </c>
      <c r="D985" s="9" t="s">
        <v>169</v>
      </c>
    </row>
    <row r="986" spans="1:4">
      <c r="A986" s="15">
        <v>986</v>
      </c>
      <c r="B986" s="3"/>
      <c r="C986" s="15" t="s">
        <v>112</v>
      </c>
      <c r="D986" s="9" t="s">
        <v>169</v>
      </c>
    </row>
    <row r="987" spans="1:4">
      <c r="A987" s="15">
        <v>987</v>
      </c>
      <c r="B987" s="3"/>
      <c r="C987" s="15" t="s">
        <v>113</v>
      </c>
      <c r="D987" s="9" t="s">
        <v>169</v>
      </c>
    </row>
    <row r="988" spans="1:4">
      <c r="A988" s="15">
        <v>988</v>
      </c>
      <c r="B988" s="3"/>
      <c r="C988" s="15" t="s">
        <v>114</v>
      </c>
      <c r="D988" s="9" t="s">
        <v>169</v>
      </c>
    </row>
    <row r="989" spans="1:4">
      <c r="A989" s="15">
        <v>989</v>
      </c>
      <c r="B989" s="3"/>
      <c r="C989" s="15" t="s">
        <v>115</v>
      </c>
      <c r="D989" s="9" t="s">
        <v>169</v>
      </c>
    </row>
    <row r="990" spans="1:4">
      <c r="A990" s="15">
        <v>990</v>
      </c>
      <c r="B990" s="3"/>
      <c r="C990" s="15" t="s">
        <v>116</v>
      </c>
      <c r="D990" s="9" t="s">
        <v>169</v>
      </c>
    </row>
    <row r="991" spans="1:4">
      <c r="A991" s="15">
        <v>991</v>
      </c>
      <c r="B991" s="3"/>
      <c r="C991" s="15" t="s">
        <v>117</v>
      </c>
      <c r="D991" s="9" t="s">
        <v>169</v>
      </c>
    </row>
    <row r="992" spans="1:4">
      <c r="A992" s="15">
        <v>992</v>
      </c>
      <c r="B992" s="3"/>
      <c r="C992" s="15" t="s">
        <v>118</v>
      </c>
      <c r="D992" s="9" t="s">
        <v>169</v>
      </c>
    </row>
    <row r="993" spans="1:4">
      <c r="A993" s="15">
        <v>993</v>
      </c>
      <c r="B993" s="3"/>
      <c r="C993" s="15" t="s">
        <v>119</v>
      </c>
      <c r="D993" s="9" t="s">
        <v>169</v>
      </c>
    </row>
    <row r="994" spans="1:4">
      <c r="A994" s="15">
        <v>994</v>
      </c>
      <c r="B994" s="3"/>
      <c r="C994" s="15" t="s">
        <v>120</v>
      </c>
      <c r="D994" s="9" t="s">
        <v>169</v>
      </c>
    </row>
    <row r="995" spans="1:4">
      <c r="A995" s="15">
        <v>995</v>
      </c>
      <c r="B995" s="3"/>
      <c r="C995" s="15" t="s">
        <v>122</v>
      </c>
      <c r="D995" s="9" t="s">
        <v>169</v>
      </c>
    </row>
    <row r="996" spans="1:4">
      <c r="A996" s="15">
        <v>996</v>
      </c>
      <c r="B996" s="3"/>
      <c r="C996" s="15" t="s">
        <v>123</v>
      </c>
      <c r="D996" s="9" t="s">
        <v>169</v>
      </c>
    </row>
    <row r="997" spans="1:4">
      <c r="A997" s="15">
        <v>997</v>
      </c>
      <c r="B997" s="3"/>
      <c r="C997" s="15" t="s">
        <v>124</v>
      </c>
      <c r="D997" s="9" t="s">
        <v>169</v>
      </c>
    </row>
    <row r="998" spans="1:4">
      <c r="A998" s="15">
        <v>998</v>
      </c>
      <c r="B998" s="3"/>
      <c r="C998" s="15" t="s">
        <v>125</v>
      </c>
      <c r="D998" s="9" t="s">
        <v>169</v>
      </c>
    </row>
    <row r="999" spans="1:4">
      <c r="A999" s="15">
        <v>999</v>
      </c>
      <c r="B999" s="3"/>
      <c r="C999" s="15" t="s">
        <v>126</v>
      </c>
      <c r="D999" s="9" t="s">
        <v>169</v>
      </c>
    </row>
    <row r="1000" spans="1:4">
      <c r="A1000" s="15">
        <v>1000</v>
      </c>
      <c r="B1000" s="3"/>
      <c r="C1000" s="15" t="s">
        <v>127</v>
      </c>
      <c r="D1000" s="9" t="s">
        <v>169</v>
      </c>
    </row>
    <row r="1001" spans="1:4">
      <c r="A1001" s="15">
        <v>1001</v>
      </c>
      <c r="B1001" s="3"/>
      <c r="C1001" s="15" t="s">
        <v>128</v>
      </c>
      <c r="D1001" s="9" t="s">
        <v>169</v>
      </c>
    </row>
    <row r="1002" spans="1:4">
      <c r="A1002" s="15">
        <v>1002</v>
      </c>
      <c r="B1002" s="3"/>
      <c r="C1002" s="15" t="s">
        <v>129</v>
      </c>
      <c r="D1002" s="9" t="s">
        <v>169</v>
      </c>
    </row>
    <row r="1003" spans="1:4">
      <c r="A1003" s="15">
        <v>1003</v>
      </c>
      <c r="B1003" s="3"/>
      <c r="C1003" s="15" t="s">
        <v>130</v>
      </c>
      <c r="D1003" s="9" t="s">
        <v>169</v>
      </c>
    </row>
    <row r="1004" spans="1:4">
      <c r="A1004" s="15">
        <v>1004</v>
      </c>
      <c r="B1004" s="3"/>
      <c r="C1004" s="15" t="s">
        <v>131</v>
      </c>
      <c r="D1004" s="9" t="s">
        <v>169</v>
      </c>
    </row>
    <row r="1005" spans="1:4">
      <c r="A1005" s="15">
        <v>1005</v>
      </c>
      <c r="B1005" s="3"/>
      <c r="C1005" s="15" t="s">
        <v>121</v>
      </c>
      <c r="D1005" s="9" t="s">
        <v>169</v>
      </c>
    </row>
    <row r="1006" spans="1:4">
      <c r="A1006" s="15">
        <v>1006</v>
      </c>
      <c r="B1006" s="3"/>
      <c r="C1006" s="17" t="s">
        <v>107</v>
      </c>
      <c r="D1006" s="9" t="s">
        <v>170</v>
      </c>
    </row>
    <row r="1007" spans="1:4">
      <c r="A1007" s="15">
        <v>1007</v>
      </c>
      <c r="B1007" s="3"/>
      <c r="C1007" s="15" t="s">
        <v>108</v>
      </c>
      <c r="D1007" s="9" t="s">
        <v>170</v>
      </c>
    </row>
    <row r="1008" spans="1:4">
      <c r="A1008" s="15">
        <v>1008</v>
      </c>
      <c r="B1008" s="3"/>
      <c r="C1008" s="15" t="s">
        <v>109</v>
      </c>
      <c r="D1008" s="9" t="s">
        <v>170</v>
      </c>
    </row>
    <row r="1009" spans="1:4">
      <c r="A1009" s="15">
        <v>1009</v>
      </c>
      <c r="B1009" s="3"/>
      <c r="C1009" s="15" t="s">
        <v>110</v>
      </c>
      <c r="D1009" s="9" t="s">
        <v>170</v>
      </c>
    </row>
    <row r="1010" spans="1:4">
      <c r="A1010" s="15">
        <v>1010</v>
      </c>
      <c r="B1010" s="3"/>
      <c r="C1010" s="15" t="s">
        <v>111</v>
      </c>
      <c r="D1010" s="9" t="s">
        <v>170</v>
      </c>
    </row>
    <row r="1011" spans="1:4">
      <c r="A1011" s="15">
        <v>1011</v>
      </c>
      <c r="B1011" s="3"/>
      <c r="C1011" s="15" t="s">
        <v>112</v>
      </c>
      <c r="D1011" s="9" t="s">
        <v>170</v>
      </c>
    </row>
    <row r="1012" spans="1:4">
      <c r="A1012" s="15">
        <v>1012</v>
      </c>
      <c r="B1012" s="3"/>
      <c r="C1012" s="15" t="s">
        <v>113</v>
      </c>
      <c r="D1012" s="9" t="s">
        <v>170</v>
      </c>
    </row>
    <row r="1013" spans="1:4">
      <c r="A1013" s="15">
        <v>1013</v>
      </c>
      <c r="B1013" s="3"/>
      <c r="C1013" s="15" t="s">
        <v>114</v>
      </c>
      <c r="D1013" s="9" t="s">
        <v>170</v>
      </c>
    </row>
    <row r="1014" spans="1:4">
      <c r="A1014" s="15">
        <v>1014</v>
      </c>
      <c r="B1014" s="3"/>
      <c r="C1014" s="15" t="s">
        <v>115</v>
      </c>
      <c r="D1014" s="9" t="s">
        <v>170</v>
      </c>
    </row>
    <row r="1015" spans="1:4">
      <c r="A1015" s="15">
        <v>1015</v>
      </c>
      <c r="B1015" s="3"/>
      <c r="C1015" s="15" t="s">
        <v>116</v>
      </c>
      <c r="D1015" s="9" t="s">
        <v>170</v>
      </c>
    </row>
    <row r="1016" spans="1:4">
      <c r="A1016" s="15">
        <v>1016</v>
      </c>
      <c r="B1016" s="3"/>
      <c r="C1016" s="15" t="s">
        <v>117</v>
      </c>
      <c r="D1016" s="9" t="s">
        <v>170</v>
      </c>
    </row>
    <row r="1017" spans="1:4">
      <c r="A1017" s="15">
        <v>1017</v>
      </c>
      <c r="B1017" s="3"/>
      <c r="C1017" s="15" t="s">
        <v>118</v>
      </c>
      <c r="D1017" s="9" t="s">
        <v>170</v>
      </c>
    </row>
    <row r="1018" spans="1:4">
      <c r="A1018" s="15">
        <v>1018</v>
      </c>
      <c r="B1018" s="3"/>
      <c r="C1018" s="15" t="s">
        <v>119</v>
      </c>
      <c r="D1018" s="9" t="s">
        <v>170</v>
      </c>
    </row>
    <row r="1019" spans="1:4">
      <c r="A1019" s="15">
        <v>1019</v>
      </c>
      <c r="B1019" s="3"/>
      <c r="C1019" s="15" t="s">
        <v>120</v>
      </c>
      <c r="D1019" s="9" t="s">
        <v>170</v>
      </c>
    </row>
    <row r="1020" spans="1:4">
      <c r="A1020" s="15">
        <v>1020</v>
      </c>
      <c r="B1020" s="3"/>
      <c r="C1020" s="15" t="s">
        <v>122</v>
      </c>
      <c r="D1020" s="9" t="s">
        <v>170</v>
      </c>
    </row>
    <row r="1021" spans="1:4">
      <c r="A1021" s="15">
        <v>1021</v>
      </c>
      <c r="B1021" s="3"/>
      <c r="C1021" s="15" t="s">
        <v>123</v>
      </c>
      <c r="D1021" s="9" t="s">
        <v>170</v>
      </c>
    </row>
    <row r="1022" spans="1:4">
      <c r="A1022" s="15">
        <v>1022</v>
      </c>
      <c r="B1022" s="3"/>
      <c r="C1022" s="15" t="s">
        <v>124</v>
      </c>
      <c r="D1022" s="9" t="s">
        <v>170</v>
      </c>
    </row>
    <row r="1023" spans="1:4">
      <c r="A1023" s="15">
        <v>1023</v>
      </c>
      <c r="B1023" s="3"/>
      <c r="C1023" s="15" t="s">
        <v>125</v>
      </c>
      <c r="D1023" s="9" t="s">
        <v>170</v>
      </c>
    </row>
    <row r="1024" spans="1:4">
      <c r="A1024" s="15">
        <v>1024</v>
      </c>
      <c r="B1024" s="3"/>
      <c r="C1024" s="15" t="s">
        <v>126</v>
      </c>
      <c r="D1024" s="9" t="s">
        <v>170</v>
      </c>
    </row>
    <row r="1025" spans="1:4">
      <c r="A1025" s="15">
        <v>1025</v>
      </c>
      <c r="B1025" s="3"/>
      <c r="C1025" s="15" t="s">
        <v>127</v>
      </c>
      <c r="D1025" s="9" t="s">
        <v>170</v>
      </c>
    </row>
    <row r="1026" spans="1:4">
      <c r="A1026" s="15">
        <v>1026</v>
      </c>
      <c r="B1026" s="3"/>
      <c r="C1026" s="15" t="s">
        <v>128</v>
      </c>
      <c r="D1026" s="9" t="s">
        <v>170</v>
      </c>
    </row>
    <row r="1027" spans="1:4">
      <c r="A1027" s="15">
        <v>1027</v>
      </c>
      <c r="B1027" s="3"/>
      <c r="C1027" s="15" t="s">
        <v>129</v>
      </c>
      <c r="D1027" s="9" t="s">
        <v>170</v>
      </c>
    </row>
    <row r="1028" spans="1:4">
      <c r="A1028" s="15">
        <v>1028</v>
      </c>
      <c r="B1028" s="3"/>
      <c r="C1028" s="15" t="s">
        <v>130</v>
      </c>
      <c r="D1028" s="9" t="s">
        <v>170</v>
      </c>
    </row>
    <row r="1029" spans="1:4">
      <c r="A1029" s="15">
        <v>1029</v>
      </c>
      <c r="B1029" s="3"/>
      <c r="C1029" s="15" t="s">
        <v>131</v>
      </c>
      <c r="D1029" s="9" t="s">
        <v>170</v>
      </c>
    </row>
    <row r="1030" spans="1:4">
      <c r="A1030" s="15">
        <v>1030</v>
      </c>
      <c r="B1030" s="3"/>
      <c r="C1030" s="15" t="s">
        <v>121</v>
      </c>
      <c r="D1030" s="9" t="s">
        <v>170</v>
      </c>
    </row>
    <row r="1031" spans="1:4">
      <c r="A1031" s="15">
        <v>1031</v>
      </c>
      <c r="B1031" s="3"/>
      <c r="C1031" s="17" t="s">
        <v>107</v>
      </c>
      <c r="D1031" s="9" t="s">
        <v>171</v>
      </c>
    </row>
    <row r="1032" spans="1:4">
      <c r="A1032" s="15">
        <v>1032</v>
      </c>
      <c r="B1032" s="3"/>
      <c r="C1032" s="15" t="s">
        <v>108</v>
      </c>
      <c r="D1032" s="9" t="s">
        <v>171</v>
      </c>
    </row>
    <row r="1033" spans="1:4">
      <c r="A1033" s="15">
        <v>1033</v>
      </c>
      <c r="B1033" s="3"/>
      <c r="C1033" s="15" t="s">
        <v>109</v>
      </c>
      <c r="D1033" s="9" t="s">
        <v>171</v>
      </c>
    </row>
    <row r="1034" spans="1:4">
      <c r="A1034" s="15">
        <v>1034</v>
      </c>
      <c r="B1034" s="3"/>
      <c r="C1034" s="15" t="s">
        <v>110</v>
      </c>
      <c r="D1034" s="9" t="s">
        <v>171</v>
      </c>
    </row>
    <row r="1035" spans="1:4">
      <c r="A1035" s="15">
        <v>1035</v>
      </c>
      <c r="B1035" s="3"/>
      <c r="C1035" s="15" t="s">
        <v>111</v>
      </c>
      <c r="D1035" s="9" t="s">
        <v>171</v>
      </c>
    </row>
    <row r="1036" spans="1:4">
      <c r="A1036" s="15">
        <v>1036</v>
      </c>
      <c r="B1036" s="3"/>
      <c r="C1036" s="15" t="s">
        <v>112</v>
      </c>
      <c r="D1036" s="9" t="s">
        <v>171</v>
      </c>
    </row>
    <row r="1037" spans="1:4">
      <c r="A1037" s="15">
        <v>1037</v>
      </c>
      <c r="B1037" s="3"/>
      <c r="C1037" s="15" t="s">
        <v>113</v>
      </c>
      <c r="D1037" s="9" t="s">
        <v>171</v>
      </c>
    </row>
    <row r="1038" spans="1:4">
      <c r="A1038" s="15">
        <v>1038</v>
      </c>
      <c r="B1038" s="3"/>
      <c r="C1038" s="15" t="s">
        <v>114</v>
      </c>
      <c r="D1038" s="9" t="s">
        <v>171</v>
      </c>
    </row>
    <row r="1039" spans="1:4">
      <c r="A1039" s="15">
        <v>1039</v>
      </c>
      <c r="B1039" s="3"/>
      <c r="C1039" s="15" t="s">
        <v>115</v>
      </c>
      <c r="D1039" s="9" t="s">
        <v>171</v>
      </c>
    </row>
    <row r="1040" spans="1:4">
      <c r="A1040" s="15">
        <v>1040</v>
      </c>
      <c r="B1040" s="3"/>
      <c r="C1040" s="15" t="s">
        <v>116</v>
      </c>
      <c r="D1040" s="9" t="s">
        <v>171</v>
      </c>
    </row>
    <row r="1041" spans="1:4">
      <c r="A1041" s="15">
        <v>1041</v>
      </c>
      <c r="B1041" s="3"/>
      <c r="C1041" s="15" t="s">
        <v>117</v>
      </c>
      <c r="D1041" s="9" t="s">
        <v>171</v>
      </c>
    </row>
    <row r="1042" spans="1:4">
      <c r="A1042" s="15">
        <v>1042</v>
      </c>
      <c r="B1042" s="3"/>
      <c r="C1042" s="15" t="s">
        <v>118</v>
      </c>
      <c r="D1042" s="9" t="s">
        <v>171</v>
      </c>
    </row>
    <row r="1043" spans="1:4">
      <c r="A1043" s="15">
        <v>1043</v>
      </c>
      <c r="B1043" s="3"/>
      <c r="C1043" s="15" t="s">
        <v>119</v>
      </c>
      <c r="D1043" s="9" t="s">
        <v>171</v>
      </c>
    </row>
    <row r="1044" spans="1:4">
      <c r="A1044" s="15">
        <v>1044</v>
      </c>
      <c r="B1044" s="3"/>
      <c r="C1044" s="15" t="s">
        <v>120</v>
      </c>
      <c r="D1044" s="9" t="s">
        <v>171</v>
      </c>
    </row>
    <row r="1045" spans="1:4">
      <c r="A1045" s="15">
        <v>1045</v>
      </c>
      <c r="B1045" s="3"/>
      <c r="C1045" s="15" t="s">
        <v>122</v>
      </c>
      <c r="D1045" s="9" t="s">
        <v>171</v>
      </c>
    </row>
    <row r="1046" spans="1:4">
      <c r="A1046" s="15">
        <v>1046</v>
      </c>
      <c r="B1046" s="3"/>
      <c r="C1046" s="15" t="s">
        <v>123</v>
      </c>
      <c r="D1046" s="9" t="s">
        <v>171</v>
      </c>
    </row>
    <row r="1047" spans="1:4">
      <c r="A1047" s="15">
        <v>1047</v>
      </c>
      <c r="B1047" s="3"/>
      <c r="C1047" s="15" t="s">
        <v>124</v>
      </c>
      <c r="D1047" s="9" t="s">
        <v>171</v>
      </c>
    </row>
    <row r="1048" spans="1:4">
      <c r="A1048" s="15">
        <v>1048</v>
      </c>
      <c r="B1048" s="3"/>
      <c r="C1048" s="15" t="s">
        <v>125</v>
      </c>
      <c r="D1048" s="9" t="s">
        <v>171</v>
      </c>
    </row>
    <row r="1049" spans="1:4">
      <c r="A1049" s="15">
        <v>1049</v>
      </c>
      <c r="B1049" s="3"/>
      <c r="C1049" s="15" t="s">
        <v>126</v>
      </c>
      <c r="D1049" s="9" t="s">
        <v>171</v>
      </c>
    </row>
    <row r="1050" spans="1:4">
      <c r="A1050" s="15">
        <v>1050</v>
      </c>
      <c r="B1050" s="3"/>
      <c r="C1050" s="15" t="s">
        <v>127</v>
      </c>
      <c r="D1050" s="9" t="s">
        <v>171</v>
      </c>
    </row>
    <row r="1051" spans="1:4">
      <c r="A1051" s="15">
        <v>1051</v>
      </c>
      <c r="B1051" s="3"/>
      <c r="C1051" s="15" t="s">
        <v>128</v>
      </c>
      <c r="D1051" s="9" t="s">
        <v>171</v>
      </c>
    </row>
    <row r="1052" spans="1:4">
      <c r="A1052" s="15">
        <v>1052</v>
      </c>
      <c r="B1052" s="3"/>
      <c r="C1052" s="15" t="s">
        <v>129</v>
      </c>
      <c r="D1052" s="9" t="s">
        <v>171</v>
      </c>
    </row>
    <row r="1053" spans="1:4">
      <c r="A1053" s="15">
        <v>1053</v>
      </c>
      <c r="B1053" s="3"/>
      <c r="C1053" s="15" t="s">
        <v>130</v>
      </c>
      <c r="D1053" s="9" t="s">
        <v>171</v>
      </c>
    </row>
    <row r="1054" spans="1:4">
      <c r="A1054" s="15">
        <v>1054</v>
      </c>
      <c r="B1054" s="3"/>
      <c r="C1054" s="15" t="s">
        <v>131</v>
      </c>
      <c r="D1054" s="9" t="s">
        <v>171</v>
      </c>
    </row>
    <row r="1055" spans="1:4">
      <c r="A1055" s="15">
        <v>1055</v>
      </c>
      <c r="B1055" s="3"/>
      <c r="C1055" s="15" t="s">
        <v>121</v>
      </c>
      <c r="D1055" s="9" t="s">
        <v>171</v>
      </c>
    </row>
    <row r="1056" spans="1:4">
      <c r="A1056" s="17">
        <v>1056</v>
      </c>
      <c r="B1056" s="17"/>
      <c r="C1056" s="17" t="s">
        <v>250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6F39-0211-4D87-B3C5-48ED12022290}">
  <sheetPr codeName="Sheet4"/>
  <dimension ref="A1"/>
  <sheetViews>
    <sheetView workbookViewId="0">
      <selection activeCell="R17" sqref="R17"/>
    </sheetView>
  </sheetViews>
  <sheetFormatPr defaultRowHeight="1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workbookViewId="0">
      <selection activeCell="L15" sqref="L15"/>
    </sheetView>
  </sheetViews>
  <sheetFormatPr defaultRowHeight="13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/>
  </sheetViews>
  <sheetFormatPr defaultRowHeight="1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55FA-4564-461C-A65D-580E5AED6A2E}">
  <sheetPr codeName="Sheet5"/>
  <dimension ref="A1"/>
  <sheetViews>
    <sheetView tabSelected="1" workbookViewId="0">
      <selection activeCell="G5" sqref="G5"/>
    </sheetView>
  </sheetViews>
  <sheetFormatPr defaultRowHeight="1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FORM</vt:lpstr>
      <vt:lpstr>FORMPRINT</vt:lpstr>
      <vt:lpstr>Data</vt:lpstr>
      <vt:lpstr>FromConfig</vt:lpstr>
      <vt:lpstr>FromTextFile</vt:lpstr>
      <vt:lpstr>FromAS400</vt:lpstr>
      <vt:lpstr>FromTextFileCtrl</vt:lpstr>
      <vt:lpstr>FORMPRINT!Print_Area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Sarawut Pengwarin</cp:lastModifiedBy>
  <cp:lastPrinted>2021-11-01T01:25:17Z</cp:lastPrinted>
  <dcterms:created xsi:type="dcterms:W3CDTF">2012-11-05T06:18:27Z</dcterms:created>
  <dcterms:modified xsi:type="dcterms:W3CDTF">2022-12-14T03:57:45Z</dcterms:modified>
</cp:coreProperties>
</file>