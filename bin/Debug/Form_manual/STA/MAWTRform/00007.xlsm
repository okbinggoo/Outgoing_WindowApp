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l91751\Desktop\OUTGOING_RUN\OUTGOING_RUN\OUTGOING_RUN\bin\Debug\Form\STA\MAWTRform\"/>
    </mc:Choice>
  </mc:AlternateContent>
  <xr:revisionPtr revIDLastSave="0" documentId="13_ncr:1_{60906572-61C2-4A57-B478-AA7D6A4E307C}" xr6:coauthVersionLast="47" xr6:coauthVersionMax="47" xr10:uidLastSave="{00000000-0000-0000-0000-000000000000}"/>
  <bookViews>
    <workbookView xWindow="-120" yWindow="-16320" windowWidth="29040" windowHeight="15840" tabRatio="791" activeTab="2" xr2:uid="{00000000-000D-0000-FFFF-FFFF00000000}"/>
  </bookViews>
  <sheets>
    <sheet name="Data" sheetId="31" r:id="rId1"/>
    <sheet name="FromTextFile" sheetId="34" r:id="rId2"/>
    <sheet name="FORM" sheetId="81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FORM!$A$1:$X$65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5" i="81" l="1"/>
  <c r="V29" i="81"/>
  <c r="V28" i="81"/>
  <c r="V27" i="81"/>
  <c r="V26" i="81"/>
  <c r="V25" i="81"/>
  <c r="D42" i="81" s="1"/>
  <c r="V24" i="81"/>
  <c r="V23" i="81"/>
  <c r="V22" i="81"/>
  <c r="V21" i="81"/>
  <c r="V20" i="81"/>
  <c r="V19" i="81"/>
  <c r="V17" i="81"/>
  <c r="U17" i="81"/>
  <c r="T17" i="81"/>
  <c r="R17" i="81"/>
  <c r="V14" i="81"/>
  <c r="U14" i="81"/>
  <c r="T14" i="81"/>
  <c r="R14" i="81"/>
  <c r="V13" i="81"/>
  <c r="U13" i="81"/>
  <c r="T13" i="81"/>
  <c r="R13" i="81"/>
  <c r="V12" i="81"/>
  <c r="U12" i="81"/>
  <c r="T12" i="81"/>
  <c r="R12" i="81"/>
  <c r="V11" i="81"/>
  <c r="U11" i="81"/>
  <c r="T11" i="81"/>
  <c r="R11" i="81"/>
  <c r="V10" i="81"/>
  <c r="U10" i="81"/>
  <c r="T10" i="81"/>
  <c r="R10" i="81"/>
  <c r="V9" i="81"/>
  <c r="U9" i="81"/>
  <c r="T9" i="81"/>
  <c r="R9" i="8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C45268C7-0440-44CF-8950-A53C87077FE0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7FCFE08B-44B2-47A6-87A7-64BD6B4FC235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BB1BE5C4-6C8E-45C4-AA26-4BD59DF344D3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E9174D09-B9C6-47E0-852C-915E90B60029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C13" authorId="1" shapeId="0" xr:uid="{9C594754-3CC7-4A46-8A85-B2AF4AC81514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นำค่าในช่องที่2 มาใส่</t>
        </r>
      </text>
    </comment>
    <comment ref="S39" authorId="2" shapeId="0" xr:uid="{50B50790-741F-4133-94F5-7D84B4D51977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U39" authorId="2" shapeId="0" xr:uid="{03C2B300-7BD2-4247-B0E3-5C803A2DFDB3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<sst xmlns="http://schemas.openxmlformats.org/spreadsheetml/2006/main" count="1106" uniqueCount="377">
  <si>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</si>
  <si>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</si>
  <si>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</si>
  <si>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</si>
  <si>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</si>
  <si>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</si>
  <si>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</si>
  <si>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</si>
  <si>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</si>
  <si>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</si>
  <si>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</si>
  <si>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</si>
  <si>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</si>
  <si>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</si>
  <si>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</si>
  <si>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</si>
  <si>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</si>
  <si>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</si>
  <si>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</si>
  <si>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</si>
  <si>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</si>
  <si>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</si>
  <si>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</si>
  <si>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</si>
  <si>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</si>
  <si>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</si>
  <si>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</si>
  <si>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</si>
  <si>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</si>
  <si>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</si>
  <si>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</si>
  <si>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</si>
  <si>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</si>
  <si>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</si>
  <si>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</si>
  <si>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</si>
  <si>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</si>
  <si>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</si>
  <si>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</si>
  <si>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</si>
  <si>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</si>
  <si>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</si>
  <si>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</si>
  <si>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</si>
  <si>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</si>
  <si>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</si>
  <si>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</si>
  <si>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</si>
  <si>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</si>
  <si>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</si>
  <si>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</si>
  <si>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</si>
  <si>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</si>
  <si>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</si>
  <si>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</si>
  <si>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</si>
  <si>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</si>
  <si>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</si>
  <si>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</si>
  <si>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</si>
  <si>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</si>
  <si>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</si>
  <si>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</si>
  <si>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</si>
  <si>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</si>
  <si>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</si>
  <si>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</si>
  <si>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</si>
  <si>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</si>
  <si>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</si>
  <si>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</si>
  <si>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</si>
  <si>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</si>
  <si>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</si>
  <si>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</si>
  <si>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</si>
  <si>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</si>
  <si>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</si>
  <si>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</si>
  <si>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</si>
  <si>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</si>
  <si>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</si>
  <si>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</si>
  <si>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</si>
  <si>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</si>
  <si>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</si>
  <si>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</si>
  <si>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</si>
  <si>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</si>
  <si>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</si>
  <si>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</si>
  <si>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</si>
  <si>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Scale Ruler</t>
  </si>
  <si>
    <t>SR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</si>
  <si>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</si>
  <si>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</si>
  <si>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</si>
  <si>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</si>
  <si>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</si>
  <si>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</si>
  <si>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</si>
  <si>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</si>
  <si>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</si>
  <si>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</si>
  <si>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</si>
  <si>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</si>
  <si>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</si>
  <si>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</si>
  <si>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#7#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</si>
  <si>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</si>
  <si>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</si>
  <si>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</si>
  <si>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</si>
  <si>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</si>
  <si>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</si>
  <si>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</si>
  <si>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</si>
  <si>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</si>
  <si>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</si>
  <si>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</si>
  <si>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</si>
  <si>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</si>
  <si>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</si>
  <si>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</si>
  <si>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</si>
  <si>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</si>
  <si>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</si>
  <si>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</si>
  <si>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</si>
  <si>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</si>
  <si>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</si>
  <si>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</si>
  <si>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</si>
  <si>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</si>
  <si>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</si>
  <si>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</si>
  <si>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</si>
  <si>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</si>
  <si>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</si>
  <si>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</si>
  <si>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</si>
  <si>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</si>
  <si>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</si>
  <si>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</si>
  <si>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</si>
  <si>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</si>
  <si>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</si>
  <si>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</si>
  <si>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</si>
  <si>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</si>
  <si>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</si>
  <si>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</si>
  <si>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</si>
  <si>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</si>
  <si>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</si>
  <si>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</si>
  <si>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</si>
  <si>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</si>
  <si>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</si>
  <si>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</si>
  <si>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</si>
  <si>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</si>
  <si>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</si>
  <si>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#296#</t>
  </si>
  <si>
    <t>#297#</t>
  </si>
  <si>
    <t>#298#</t>
  </si>
  <si>
    <t>#299#</t>
  </si>
  <si>
    <t>#300#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</si>
  <si>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</si>
  <si>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</si>
  <si>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</si>
  <si>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</si>
  <si>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</si>
  <si>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</si>
  <si>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</si>
  <si>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</si>
  <si>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</si>
  <si>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</si>
  <si>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</si>
  <si>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</si>
  <si>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</si>
  <si>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</si>
  <si>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</si>
  <si>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</si>
  <si>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</si>
  <si>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</si>
  <si>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</si>
  <si>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</si>
  <si>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</si>
  <si>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</si>
  <si>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</si>
  <si>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</si>
  <si>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</si>
  <si>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</si>
  <si>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</si>
  <si>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</si>
  <si>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</si>
  <si>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</si>
  <si>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</si>
  <si>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</si>
  <si>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</si>
  <si>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</si>
  <si>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</si>
  <si>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</si>
  <si>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</si>
  <si>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</si>
  <si>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</si>
  <si>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</si>
  <si>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</si>
  <si>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</si>
  <si>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</si>
  <si>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</si>
  <si>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</si>
  <si>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</si>
  <si>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</si>
  <si>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</si>
  <si>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</si>
  <si>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</si>
  <si>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</si>
  <si>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</si>
  <si>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</si>
  <si>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</si>
  <si>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</si>
  <si>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</si>
  <si>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</si>
  <si>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</si>
  <si>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</si>
  <si>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</si>
  <si>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</si>
  <si>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</si>
  <si>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</si>
  <si>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</si>
  <si>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</si>
  <si>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</si>
  <si>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</si>
  <si>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</si>
  <si>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</si>
  <si>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</si>
  <si>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</si>
  <si>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</si>
  <si>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</si>
  <si>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</si>
  <si>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</si>
  <si>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</si>
  <si>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</si>
  <si>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</si>
  <si>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</si>
  <si>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</si>
  <si>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</si>
  <si>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</si>
  <si>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</si>
  <si>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</si>
  <si>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</si>
  <si>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</si>
  <si>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</si>
  <si>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</si>
  <si>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</si>
  <si>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</si>
  <si>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</si>
  <si>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</si>
  <si>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</si>
  <si>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</si>
  <si>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</si>
  <si>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</si>
  <si>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</si>
  <si>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</si>
  <si>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</si>
  <si>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</si>
  <si>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</si>
  <si>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</si>
  <si>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</si>
  <si>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</si>
  <si>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</si>
  <si>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</si>
  <si>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</si>
  <si>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</si>
  <si>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</si>
  <si>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</si>
  <si>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</si>
  <si>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</si>
  <si>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</si>
  <si>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</si>
  <si>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</si>
  <si>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</si>
  <si>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</si>
  <si>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</si>
  <si>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</si>
  <si>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</si>
  <si>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</si>
  <si>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</si>
  <si>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</si>
  <si>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</si>
  <si>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</si>
  <si>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</si>
  <si>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</si>
  <si>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</si>
  <si>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</si>
  <si>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</si>
  <si>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</si>
  <si>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</si>
  <si>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</si>
  <si>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</si>
  <si>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</si>
  <si>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</si>
  <si>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</si>
  <si>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</si>
  <si>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</si>
  <si>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</si>
  <si>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</si>
  <si>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</si>
  <si>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</si>
  <si>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</si>
  <si>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</si>
  <si>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</si>
  <si>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</si>
  <si>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</si>
  <si>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</si>
  <si>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</si>
  <si>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</si>
  <si>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</si>
  <si>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</si>
  <si>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</si>
  <si>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</si>
  <si>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</si>
  <si>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</si>
  <si>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</si>
  <si>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</si>
  <si>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</si>
  <si>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</si>
  <si>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</si>
  <si>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</si>
  <si>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</si>
  <si>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</si>
  <si>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</si>
  <si>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</si>
  <si>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</si>
  <si>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</si>
  <si>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</si>
  <si>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</si>
  <si>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</si>
  <si>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</si>
  <si>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</si>
  <si>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</si>
  <si>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</si>
  <si>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</si>
  <si>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</si>
  <si>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\\163.50.57.106\wwwroot$\FG007\Image\MarkingCode\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</si>
  <si>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</si>
  <si>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</si>
  <si>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</si>
  <si>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</si>
  <si>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</si>
  <si>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</si>
  <si>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</si>
  <si>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</si>
  <si>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</si>
  <si>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</si>
  <si>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</si>
  <si>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</si>
  <si>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</si>
  <si>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</si>
  <si>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</si>
  <si>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</si>
  <si>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</si>
  <si>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</si>
  <si>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#179#</t>
  </si>
  <si>
    <t>00007</t>
  </si>
  <si>
    <t>163.50.57.17</t>
  </si>
  <si>
    <t>Logistic</t>
  </si>
  <si>
    <t>MTL1</t>
  </si>
  <si>
    <t>m1tahb.murata.co.jp:11541</t>
  </si>
  <si>
    <t>prd_asean_euc</t>
  </si>
  <si>
    <t>MTL_EUC</t>
  </si>
  <si>
    <t>mS4Keg9z</t>
  </si>
  <si>
    <t>LCLW009LG_B21202953S522183TS2524006;MET/TTE KS(USD);1;20220926;F523Q44/NB83-3080053361-1;PIC-00005-Q0-5A;S522183;XX1;MA58MF14-3N;XX2</t>
  </si>
  <si>
    <t>*D:\TEST_OG\</t>
  </si>
  <si>
    <t>#33#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</si>
</sst>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#,##0.0"/>
  </numFmts>
  <fonts count="72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7"/>
      <name val="Arial"/>
      <family val="2"/>
    </font>
    <font>
      <sz val="7"/>
      <name val="Cordia New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6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3" fillId="0" borderId="0"/>
    <xf numFmtId="9" fontId="1" fillId="0" borderId="0" applyFont="0" applyFill="0" applyBorder="0" applyAlignment="0" applyProtection="0"/>
  </cellStyleXfs>
  <cellXfs count="306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8" fillId="3" borderId="5" xfId="110" applyFont="1" applyFill="1" applyBorder="1" applyAlignment="1" applyProtection="1">
      <alignment horizontal="center" vertical="center"/>
      <protection locked="0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8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20" xfId="110" applyFont="1" applyFill="1" applyBorder="1" applyAlignment="1" applyProtection="1">
      <alignment vertical="center"/>
    </xf>
    <xf numFmtId="0" fontId="6" fillId="0" borderId="20" xfId="110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24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vertical="center"/>
    </xf>
    <xf numFmtId="0" fontId="6" fillId="0" borderId="26" xfId="110" applyFont="1" applyFill="1" applyBorder="1" applyAlignment="1" applyProtection="1">
      <alignment vertical="center"/>
    </xf>
    <xf numFmtId="0" fontId="6" fillId="0" borderId="18" xfId="110" applyFont="1" applyFill="1" applyBorder="1" applyAlignment="1" applyProtection="1">
      <alignment vertical="center"/>
    </xf>
    <xf numFmtId="0" fontId="55" fillId="0" borderId="0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1" xfId="0" applyFill="1" applyBorder="1"/>
    <xf numFmtId="0" fontId="0" fillId="24" borderId="32" xfId="0" applyFill="1" applyBorder="1"/>
    <xf numFmtId="0" fontId="0" fillId="25" borderId="8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20" xfId="0" applyFill="1" applyBorder="1"/>
    <xf numFmtId="0" fontId="0" fillId="2" borderId="31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1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3" borderId="46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5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44" applyFont="1" applyBorder="1" applyProtection="1"/>
    <xf numFmtId="0" fontId="42" fillId="0" borderId="0" xfId="144" applyFont="1" applyBorder="1"/>
    <xf numFmtId="0" fontId="8" fillId="3" borderId="4" xfId="144" applyFont="1" applyFill="1" applyBorder="1" applyAlignment="1" applyProtection="1">
      <alignment horizontal="center" vertical="center"/>
      <protection locked="0"/>
    </xf>
    <xf numFmtId="0" fontId="8" fillId="0" borderId="5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0" fontId="6" fillId="0" borderId="1" xfId="144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" fontId="62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67" fontId="62" fillId="0" borderId="1" xfId="5" applyNumberFormat="1" applyFont="1" applyFill="1" applyBorder="1" applyAlignment="1" applyProtection="1">
      <alignment horizontal="center" vertical="center"/>
    </xf>
    <xf numFmtId="0" fontId="44" fillId="0" borderId="1" xfId="110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0" borderId="25" xfId="144" applyFont="1" applyBorder="1" applyAlignment="1" applyProtection="1">
      <alignment vertical="center"/>
    </xf>
    <xf numFmtId="0" fontId="5" fillId="0" borderId="48" xfId="144" applyFont="1" applyBorder="1" applyAlignment="1" applyProtection="1">
      <alignment horizontal="left" vertical="center"/>
    </xf>
    <xf numFmtId="0" fontId="6" fillId="0" borderId="19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vertical="center"/>
    </xf>
    <xf numFmtId="0" fontId="6" fillId="0" borderId="5" xfId="144" applyFont="1" applyBorder="1" applyAlignment="1" applyProtection="1">
      <alignment horizontal="center" vertical="center"/>
    </xf>
    <xf numFmtId="0" fontId="6" fillId="0" borderId="12" xfId="144" applyFont="1" applyBorder="1" applyAlignment="1" applyProtection="1">
      <alignment vertical="center"/>
    </xf>
    <xf numFmtId="0" fontId="6" fillId="0" borderId="12" xfId="144" applyFont="1" applyBorder="1" applyAlignment="1" applyProtection="1">
      <alignment horizontal="center" vertical="center"/>
    </xf>
    <xf numFmtId="0" fontId="5" fillId="0" borderId="28" xfId="144" applyFont="1" applyBorder="1" applyAlignment="1" applyProtection="1">
      <alignment vertical="center" wrapText="1"/>
    </xf>
    <xf numFmtId="2" fontId="5" fillId="0" borderId="28" xfId="110" applyNumberFormat="1" applyFont="1" applyFill="1" applyBorder="1" applyAlignment="1" applyProtection="1">
      <alignment horizontal="center" vertical="center"/>
    </xf>
    <xf numFmtId="2" fontId="5" fillId="0" borderId="28" xfId="110" applyNumberFormat="1" applyFont="1" applyFill="1" applyBorder="1" applyAlignment="1" applyProtection="1">
      <alignment vertical="center"/>
    </xf>
    <xf numFmtId="0" fontId="55" fillId="0" borderId="28" xfId="110" applyFont="1" applyFill="1" applyBorder="1" applyAlignment="1" applyProtection="1">
      <alignment horizontal="center" vertical="center"/>
    </xf>
    <xf numFmtId="0" fontId="54" fillId="0" borderId="0" xfId="144" applyFont="1" applyAlignment="1" applyProtection="1">
      <alignment vertical="center"/>
    </xf>
    <xf numFmtId="0" fontId="54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8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horizontal="center" vertical="center"/>
    </xf>
    <xf numFmtId="0" fontId="6" fillId="0" borderId="21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167" fontId="44" fillId="28" borderId="1" xfId="110" applyNumberFormat="1" applyFont="1" applyFill="1" applyBorder="1" applyAlignment="1" applyProtection="1">
      <alignment vertical="center"/>
    </xf>
    <xf numFmtId="167" fontId="44" fillId="28" borderId="1" xfId="110" applyNumberFormat="1" applyFont="1" applyFill="1" applyBorder="1" applyAlignment="1" applyProtection="1">
      <alignment horizontal="center" vertical="center"/>
    </xf>
    <xf numFmtId="167" fontId="56" fillId="28" borderId="1" xfId="110" applyNumberFormat="1" applyFont="1" applyFill="1" applyBorder="1" applyAlignment="1" applyProtection="1">
      <alignment horizontal="center" vertical="center"/>
    </xf>
    <xf numFmtId="1" fontId="6" fillId="28" borderId="1" xfId="144" applyNumberFormat="1" applyFont="1" applyFill="1" applyBorder="1" applyAlignment="1" applyProtection="1">
      <alignment horizontal="center" vertical="center"/>
      <protection locked="0"/>
    </xf>
    <xf numFmtId="1" fontId="6" fillId="28" borderId="1" xfId="110" applyNumberFormat="1" applyFont="1" applyFill="1" applyBorder="1" applyAlignment="1" applyProtection="1">
      <alignment horizontal="center" vertical="center"/>
      <protection locked="0"/>
    </xf>
    <xf numFmtId="1" fontId="44" fillId="28" borderId="1" xfId="110" applyNumberFormat="1" applyFont="1" applyFill="1" applyBorder="1" applyAlignment="1" applyProtection="1">
      <alignment horizontal="center" vertical="center"/>
      <protection locked="0"/>
    </xf>
    <xf numFmtId="2" fontId="44" fillId="28" borderId="1" xfId="110" applyNumberFormat="1" applyFont="1" applyFill="1" applyBorder="1" applyAlignment="1" applyProtection="1">
      <alignment horizontal="center" vertical="center"/>
    </xf>
    <xf numFmtId="167" fontId="62" fillId="28" borderId="1" xfId="5" applyNumberFormat="1" applyFont="1" applyFill="1" applyBorder="1" applyAlignment="1" applyProtection="1">
      <alignment horizontal="center" vertical="center"/>
    </xf>
    <xf numFmtId="167" fontId="68" fillId="28" borderId="1" xfId="110" applyNumberFormat="1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47" xfId="144" applyFont="1" applyBorder="1" applyAlignment="1" applyProtection="1">
      <alignment vertical="center"/>
    </xf>
    <xf numFmtId="0" fontId="6" fillId="0" borderId="50" xfId="144" applyFont="1" applyBorder="1" applyAlignment="1" applyProtection="1">
      <alignment vertical="center"/>
    </xf>
    <xf numFmtId="0" fontId="6" fillId="0" borderId="49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4" fillId="0" borderId="7" xfId="144" applyFont="1" applyBorder="1" applyAlignment="1" applyProtection="1">
      <alignment vertical="center"/>
    </xf>
    <xf numFmtId="0" fontId="5" fillId="0" borderId="0" xfId="144" applyFont="1" applyBorder="1" applyAlignment="1" applyProtection="1">
      <alignment vertical="center" wrapText="1"/>
    </xf>
    <xf numFmtId="0" fontId="6" fillId="0" borderId="27" xfId="144" applyFont="1" applyBorder="1" applyAlignment="1" applyProtection="1">
      <alignment vertical="center"/>
    </xf>
    <xf numFmtId="0" fontId="50" fillId="0" borderId="0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0" fontId="6" fillId="0" borderId="27" xfId="5" applyFont="1" applyFill="1" applyBorder="1" applyAlignment="1" applyProtection="1">
      <alignment vertical="center"/>
    </xf>
    <xf numFmtId="0" fontId="6" fillId="0" borderId="28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5" fillId="0" borderId="19" xfId="110" applyFont="1" applyFill="1" applyBorder="1" applyAlignment="1" applyProtection="1">
      <alignment horizontal="left" vertical="center"/>
    </xf>
    <xf numFmtId="0" fontId="65" fillId="0" borderId="21" xfId="110" applyFont="1" applyFill="1" applyBorder="1" applyAlignment="1" applyProtection="1">
      <alignment horizontal="left" vertical="center" shrinkToFit="1"/>
      <protection locked="0" hidden="1"/>
    </xf>
    <xf numFmtId="180" fontId="44" fillId="28" borderId="1" xfId="110" applyNumberFormat="1" applyFont="1" applyFill="1" applyBorder="1" applyAlignment="1" applyProtection="1">
      <alignment horizontal="center" vertical="center"/>
      <protection locked="0"/>
    </xf>
    <xf numFmtId="167" fontId="56" fillId="28" borderId="3" xfId="110" applyNumberFormat="1" applyFont="1" applyFill="1" applyBorder="1" applyAlignment="1" applyProtection="1">
      <alignment horizontal="center" vertical="center"/>
    </xf>
    <xf numFmtId="1" fontId="6" fillId="0" borderId="3" xfId="110" applyNumberFormat="1" applyFont="1" applyFill="1" applyBorder="1" applyAlignment="1" applyProtection="1">
      <alignment horizontal="center" vertical="center"/>
    </xf>
    <xf numFmtId="167" fontId="6" fillId="0" borderId="3" xfId="110" applyNumberFormat="1" applyFont="1" applyFill="1" applyBorder="1" applyAlignment="1" applyProtection="1">
      <alignment horizontal="center" vertical="center"/>
    </xf>
    <xf numFmtId="0" fontId="6" fillId="28" borderId="3" xfId="110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vertical="center"/>
    </xf>
    <xf numFmtId="1" fontId="6" fillId="29" borderId="1" xfId="110" applyNumberFormat="1" applyFont="1" applyFill="1" applyBorder="1" applyAlignment="1" applyProtection="1">
      <alignment horizontal="center" vertical="center"/>
      <protection locked="0"/>
    </xf>
    <xf numFmtId="1" fontId="44" fillId="29" borderId="1" xfId="110" applyNumberFormat="1" applyFont="1" applyFill="1" applyBorder="1" applyAlignment="1" applyProtection="1">
      <alignment horizontal="center" vertical="center"/>
      <protection locked="0"/>
    </xf>
    <xf numFmtId="180" fontId="44" fillId="29" borderId="1" xfId="110" applyNumberFormat="1" applyFont="1" applyFill="1" applyBorder="1" applyAlignment="1" applyProtection="1">
      <alignment horizontal="center" vertical="center"/>
      <protection locked="0"/>
    </xf>
    <xf numFmtId="167" fontId="44" fillId="29" borderId="1" xfId="110" applyNumberFormat="1" applyFont="1" applyFill="1" applyBorder="1" applyAlignment="1" applyProtection="1">
      <alignment horizontal="center" vertical="center"/>
    </xf>
    <xf numFmtId="1" fontId="6" fillId="29" borderId="1" xfId="110" applyNumberFormat="1" applyFont="1" applyFill="1" applyBorder="1" applyAlignment="1" applyProtection="1">
      <alignment horizontal="center" vertical="center"/>
    </xf>
    <xf numFmtId="167" fontId="6" fillId="29" borderId="1" xfId="110" applyNumberFormat="1" applyFont="1" applyFill="1" applyBorder="1" applyAlignment="1" applyProtection="1">
      <alignment horizontal="center" vertical="center"/>
    </xf>
    <xf numFmtId="2" fontId="44" fillId="29" borderId="1" xfId="110" applyNumberFormat="1" applyFont="1" applyFill="1" applyBorder="1" applyAlignment="1" applyProtection="1">
      <alignment horizontal="center" vertical="center"/>
    </xf>
    <xf numFmtId="49" fontId="6" fillId="29" borderId="1" xfId="144" applyNumberFormat="1" applyFont="1" applyFill="1" applyBorder="1" applyAlignment="1" applyProtection="1">
      <alignment horizontal="center" vertical="center"/>
    </xf>
    <xf numFmtId="167" fontId="56" fillId="0" borderId="1" xfId="110" applyNumberFormat="1" applyFont="1" applyFill="1" applyBorder="1" applyAlignment="1" applyProtection="1">
      <alignment horizontal="center" vertical="center"/>
    </xf>
    <xf numFmtId="167" fontId="56" fillId="0" borderId="1" xfId="110" quotePrefix="1" applyNumberFormat="1" applyFont="1" applyFill="1" applyBorder="1" applyAlignment="1" applyProtection="1">
      <alignment horizontal="center" vertical="center"/>
    </xf>
    <xf numFmtId="167" fontId="68" fillId="0" borderId="1" xfId="110" applyNumberFormat="1" applyFont="1" applyFill="1" applyBorder="1" applyAlignment="1" applyProtection="1">
      <alignment horizontal="center" vertical="center"/>
    </xf>
    <xf numFmtId="167" fontId="6" fillId="28" borderId="1" xfId="110" applyNumberFormat="1" applyFont="1" applyFill="1" applyBorder="1" applyAlignment="1" applyProtection="1">
      <alignment horizontal="center" vertical="center"/>
      <protection locked="0"/>
    </xf>
    <xf numFmtId="0" fontId="70" fillId="0" borderId="4" xfId="110" applyFont="1" applyFill="1" applyBorder="1" applyAlignment="1" applyProtection="1">
      <alignment vertical="center"/>
    </xf>
    <xf numFmtId="0" fontId="71" fillId="0" borderId="5" xfId="144" applyFont="1" applyBorder="1" applyAlignment="1" applyProtection="1">
      <alignment vertical="center"/>
    </xf>
    <xf numFmtId="49" fontId="70" fillId="0" borderId="5" xfId="5" applyNumberFormat="1" applyFont="1" applyFill="1" applyBorder="1" applyAlignment="1" applyProtection="1">
      <alignment horizontal="left" vertical="center"/>
    </xf>
    <xf numFmtId="49" fontId="70" fillId="0" borderId="5" xfId="5" applyNumberFormat="1" applyFont="1" applyFill="1" applyBorder="1" applyAlignment="1" applyProtection="1">
      <alignment horizontal="center" vertical="center"/>
    </xf>
    <xf numFmtId="49" fontId="70" fillId="0" borderId="6" xfId="5" applyNumberFormat="1" applyFont="1" applyFill="1" applyBorder="1" applyAlignment="1" applyProtection="1">
      <alignment horizontal="center" vertical="center"/>
    </xf>
    <xf numFmtId="0" fontId="70" fillId="0" borderId="4" xfId="144" applyFont="1" applyBorder="1" applyAlignment="1" applyProtection="1">
      <alignment vertical="center"/>
    </xf>
    <xf numFmtId="0" fontId="70" fillId="0" borderId="5" xfId="110" applyFont="1" applyFill="1" applyBorder="1" applyAlignment="1" applyProtection="1">
      <alignment vertical="center"/>
    </xf>
    <xf numFmtId="0" fontId="70" fillId="0" borderId="5" xfId="5" applyFont="1" applyFill="1" applyBorder="1" applyAlignment="1" applyProtection="1">
      <alignment horizontal="left" vertical="center"/>
    </xf>
    <xf numFmtId="0" fontId="70" fillId="0" borderId="5" xfId="5" applyFont="1" applyFill="1" applyBorder="1" applyAlignment="1" applyProtection="1">
      <alignment horizontal="center" vertical="center"/>
    </xf>
    <xf numFmtId="0" fontId="70" fillId="0" borderId="6" xfId="5" applyFont="1" applyFill="1" applyBorder="1" applyAlignment="1" applyProtection="1">
      <alignment horizontal="center" vertical="center"/>
    </xf>
    <xf numFmtId="0" fontId="70" fillId="0" borderId="0" xfId="144" applyFont="1" applyBorder="1" applyAlignment="1" applyProtection="1">
      <alignment vertical="center"/>
    </xf>
    <xf numFmtId="0" fontId="70" fillId="0" borderId="47" xfId="110" applyFont="1" applyFill="1" applyBorder="1" applyAlignment="1" applyProtection="1">
      <alignment vertical="center"/>
    </xf>
    <xf numFmtId="0" fontId="70" fillId="0" borderId="5" xfId="144" applyFont="1" applyBorder="1" applyAlignment="1" applyProtection="1">
      <alignment vertical="center"/>
    </xf>
    <xf numFmtId="0" fontId="70" fillId="0" borderId="6" xfId="144" applyFont="1" applyBorder="1" applyAlignment="1" applyProtection="1">
      <alignment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2" fontId="62" fillId="0" borderId="1" xfId="5" applyNumberFormat="1" applyFont="1" applyFill="1" applyBorder="1" applyAlignment="1" applyProtection="1">
      <alignment horizontal="center" vertical="center"/>
    </xf>
    <xf numFmtId="2" fontId="62" fillId="28" borderId="1" xfId="5" applyNumberFormat="1" applyFont="1" applyFill="1" applyBorder="1" applyAlignment="1" applyProtection="1">
      <alignment horizontal="center" vertical="center"/>
    </xf>
    <xf numFmtId="2" fontId="44" fillId="28" borderId="1" xfId="110" applyNumberFormat="1" applyFont="1" applyFill="1" applyBorder="1" applyAlignment="1" applyProtection="1">
      <alignment horizontal="center" vertical="center"/>
      <protection locked="0"/>
    </xf>
    <xf numFmtId="167" fontId="44" fillId="28" borderId="3" xfId="110" applyNumberFormat="1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6" fillId="0" borderId="6" xfId="144" applyFont="1" applyBorder="1" applyAlignment="1" applyProtection="1">
      <alignment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49" fontId="6" fillId="0" borderId="1" xfId="144" applyNumberFormat="1" applyFont="1" applyBorder="1" applyAlignment="1" applyProtection="1">
      <alignment horizontal="center" vertical="center"/>
    </xf>
    <xf numFmtId="49" fontId="44" fillId="0" borderId="1" xfId="145" quotePrefix="1" applyNumberFormat="1" applyFont="1" applyFill="1" applyBorder="1" applyAlignment="1" applyProtection="1">
      <alignment horizontal="center" vertical="center"/>
    </xf>
    <xf numFmtId="49" fontId="44" fillId="0" borderId="1" xfId="5" applyNumberFormat="1" applyFont="1" applyFill="1" applyBorder="1" applyAlignment="1" applyProtection="1">
      <alignment horizontal="center"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49" fontId="44" fillId="28" borderId="1" xfId="5" applyNumberFormat="1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0" fontId="6" fillId="0" borderId="47" xfId="144" applyFont="1" applyFill="1" applyBorder="1" applyAlignment="1" applyProtection="1">
      <alignment vertical="center"/>
    </xf>
    <xf numFmtId="0" fontId="6" fillId="0" borderId="51" xfId="144" applyFont="1" applyFill="1" applyBorder="1" applyAlignment="1" applyProtection="1">
      <alignment vertical="center"/>
    </xf>
    <xf numFmtId="0" fontId="6" fillId="0" borderId="50" xfId="144" applyFont="1" applyFill="1" applyBorder="1" applyAlignment="1" applyProtection="1">
      <alignment vertical="center"/>
    </xf>
    <xf numFmtId="0" fontId="6" fillId="0" borderId="52" xfId="144" applyFont="1" applyFill="1" applyBorder="1" applyAlignment="1" applyProtection="1">
      <alignment vertical="center"/>
    </xf>
    <xf numFmtId="0" fontId="6" fillId="0" borderId="49" xfId="144" applyFont="1" applyFill="1" applyBorder="1" applyAlignment="1" applyProtection="1">
      <alignment vertical="center"/>
    </xf>
    <xf numFmtId="0" fontId="6" fillId="0" borderId="53" xfId="144" applyFont="1" applyFill="1" applyBorder="1" applyAlignment="1" applyProtection="1">
      <alignment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1" fontId="6" fillId="29" borderId="4" xfId="110" applyNumberFormat="1" applyFont="1" applyFill="1" applyBorder="1" applyAlignment="1" applyProtection="1">
      <alignment horizontal="center" vertical="center"/>
    </xf>
    <xf numFmtId="1" fontId="6" fillId="29" borderId="6" xfId="110" applyNumberFormat="1" applyFont="1" applyFill="1" applyBorder="1" applyAlignment="1" applyProtection="1">
      <alignment horizontal="center" vertical="center"/>
    </xf>
    <xf numFmtId="167" fontId="6" fillId="0" borderId="49" xfId="110" applyNumberFormat="1" applyFont="1" applyFill="1" applyBorder="1" applyAlignment="1" applyProtection="1">
      <alignment horizontal="center" vertical="center"/>
    </xf>
    <xf numFmtId="167" fontId="6" fillId="0" borderId="53" xfId="110" applyNumberFormat="1" applyFont="1" applyFill="1" applyBorder="1" applyAlignment="1" applyProtection="1">
      <alignment horizontal="center" vertical="center"/>
    </xf>
    <xf numFmtId="0" fontId="6" fillId="0" borderId="6" xfId="144" applyFont="1" applyBorder="1" applyAlignment="1" applyProtection="1">
      <alignment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1" fillId="0" borderId="25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8" xfId="144" applyFont="1" applyBorder="1" applyAlignment="1" applyProtection="1">
      <alignment horizontal="center" vertical="center"/>
    </xf>
    <xf numFmtId="0" fontId="4" fillId="0" borderId="27" xfId="144" applyFont="1" applyBorder="1" applyAlignment="1" applyProtection="1">
      <alignment horizontal="left" vertical="center"/>
    </xf>
    <xf numFmtId="0" fontId="4" fillId="0" borderId="28" xfId="144" applyFont="1" applyBorder="1" applyAlignment="1" applyProtection="1">
      <alignment horizontal="left" vertical="center"/>
    </xf>
    <xf numFmtId="0" fontId="4" fillId="0" borderId="29" xfId="144" applyFont="1" applyBorder="1" applyAlignment="1" applyProtection="1">
      <alignment horizontal="left" vertical="center"/>
    </xf>
    <xf numFmtId="0" fontId="1" fillId="0" borderId="22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0" xfId="144" applyFont="1" applyBorder="1" applyAlignment="1" applyProtection="1">
      <alignment horizontal="center" vertical="center"/>
    </xf>
    <xf numFmtId="0" fontId="4" fillId="0" borderId="22" xfId="144" applyFont="1" applyBorder="1" applyAlignment="1" applyProtection="1">
      <alignment horizontal="left" vertical="center"/>
    </xf>
    <xf numFmtId="0" fontId="4" fillId="0" borderId="2" xfId="144" applyFont="1" applyBorder="1" applyAlignment="1" applyProtection="1">
      <alignment horizontal="left" vertical="center"/>
    </xf>
    <xf numFmtId="0" fontId="4" fillId="0" borderId="30" xfId="144" applyFont="1" applyBorder="1" applyAlignment="1" applyProtection="1">
      <alignment horizontal="left" vertical="center"/>
    </xf>
    <xf numFmtId="0" fontId="5" fillId="0" borderId="43" xfId="144" applyFont="1" applyBorder="1" applyAlignment="1" applyProtection="1">
      <alignment horizontal="center" vertical="center"/>
    </xf>
    <xf numFmtId="0" fontId="5" fillId="0" borderId="44" xfId="144" applyFont="1" applyBorder="1" applyAlignment="1" applyProtection="1">
      <alignment horizontal="center" vertical="center"/>
    </xf>
    <xf numFmtId="0" fontId="5" fillId="0" borderId="45" xfId="144" applyFont="1" applyBorder="1" applyAlignment="1" applyProtection="1">
      <alignment horizontal="center" vertical="center"/>
    </xf>
    <xf numFmtId="0" fontId="5" fillId="0" borderId="9" xfId="5" applyFont="1" applyFill="1" applyBorder="1" applyAlignment="1" applyProtection="1">
      <alignment horizontal="center" vertical="center"/>
    </xf>
    <xf numFmtId="0" fontId="5" fillId="0" borderId="13" xfId="5" applyFont="1" applyFill="1" applyBorder="1" applyAlignment="1" applyProtection="1">
      <alignment horizontal="center" vertical="center"/>
    </xf>
    <xf numFmtId="0" fontId="5" fillId="0" borderId="10" xfId="5" applyFont="1" applyFill="1" applyBorder="1" applyAlignment="1" applyProtection="1">
      <alignment horizontal="center" vertical="center"/>
    </xf>
    <xf numFmtId="0" fontId="69" fillId="0" borderId="23" xfId="144" applyFont="1" applyBorder="1" applyAlignment="1" applyProtection="1">
      <alignment horizontal="center" vertical="center"/>
    </xf>
    <xf numFmtId="0" fontId="69" fillId="0" borderId="7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25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69" fillId="0" borderId="21" xfId="144" applyFont="1" applyBorder="1" applyAlignment="1" applyProtection="1">
      <alignment horizontal="center" vertical="center"/>
    </xf>
    <xf numFmtId="0" fontId="4" fillId="0" borderId="23" xfId="144" applyFont="1" applyBorder="1" applyAlignment="1" applyProtection="1">
      <alignment horizontal="left" vertical="center"/>
    </xf>
    <xf numFmtId="0" fontId="4" fillId="0" borderId="7" xfId="144" applyFont="1" applyBorder="1" applyAlignment="1" applyProtection="1">
      <alignment horizontal="left" vertical="center"/>
    </xf>
    <xf numFmtId="0" fontId="4" fillId="0" borderId="17" xfId="144" applyFont="1" applyBorder="1" applyAlignment="1" applyProtection="1">
      <alignment horizontal="left" vertical="center"/>
    </xf>
    <xf numFmtId="0" fontId="4" fillId="0" borderId="25" xfId="144" applyFont="1" applyBorder="1" applyAlignment="1" applyProtection="1">
      <alignment horizontal="left" vertical="center"/>
    </xf>
    <xf numFmtId="0" fontId="4" fillId="0" borderId="0" xfId="144" applyFont="1" applyBorder="1" applyAlignment="1" applyProtection="1">
      <alignment horizontal="left" vertical="center"/>
    </xf>
    <xf numFmtId="0" fontId="4" fillId="0" borderId="18" xfId="144" applyFont="1" applyBorder="1" applyAlignment="1" applyProtection="1">
      <alignment horizontal="left" vertical="center"/>
    </xf>
    <xf numFmtId="0" fontId="4" fillId="0" borderId="19" xfId="144" applyFont="1" applyBorder="1" applyAlignment="1" applyProtection="1">
      <alignment horizontal="left" vertical="center"/>
    </xf>
    <xf numFmtId="0" fontId="4" fillId="0" borderId="20" xfId="144" applyFont="1" applyBorder="1" applyAlignment="1" applyProtection="1">
      <alignment horizontal="left" vertical="center"/>
    </xf>
    <xf numFmtId="0" fontId="4" fillId="0" borderId="21" xfId="144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64" fillId="0" borderId="20" xfId="110" applyFont="1" applyFill="1" applyBorder="1" applyAlignment="1" applyProtection="1">
      <alignment horizontal="center" vertical="center"/>
      <protection locked="0"/>
    </xf>
    <xf numFmtId="0" fontId="9" fillId="0" borderId="28" xfId="144" applyFont="1" applyBorder="1" applyAlignment="1" applyProtection="1">
      <alignment vertical="center" wrapText="1"/>
    </xf>
    <xf numFmtId="0" fontId="63" fillId="0" borderId="29" xfId="144" applyBorder="1" applyAlignment="1" applyProtection="1">
      <alignment vertical="center" wrapText="1"/>
    </xf>
    <xf numFmtId="0" fontId="63" fillId="0" borderId="0" xfId="144" applyBorder="1" applyAlignment="1" applyProtection="1">
      <alignment vertical="center" wrapText="1"/>
    </xf>
    <xf numFmtId="0" fontId="63" fillId="0" borderId="18" xfId="144" applyBorder="1" applyAlignment="1" applyProtection="1">
      <alignment vertical="center" wrapText="1"/>
    </xf>
    <xf numFmtId="0" fontId="63" fillId="0" borderId="20" xfId="144" applyBorder="1" applyAlignment="1" applyProtection="1">
      <alignment vertical="center" wrapText="1"/>
    </xf>
    <xf numFmtId="0" fontId="63" fillId="0" borderId="21" xfId="144" applyBorder="1" applyAlignment="1" applyProtection="1">
      <alignment vertical="center" wrapText="1"/>
    </xf>
    <xf numFmtId="2" fontId="45" fillId="3" borderId="27" xfId="110" applyNumberFormat="1" applyFont="1" applyFill="1" applyBorder="1" applyAlignment="1" applyProtection="1">
      <alignment horizontal="center" vertical="center"/>
    </xf>
    <xf numFmtId="0" fontId="46" fillId="3" borderId="28" xfId="144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25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0" fontId="46" fillId="3" borderId="21" xfId="144" applyFont="1" applyFill="1" applyBorder="1" applyAlignment="1" applyProtection="1">
      <alignment horizontal="center" vertical="center"/>
    </xf>
    <xf numFmtId="2" fontId="9" fillId="0" borderId="27" xfId="110" applyNumberFormat="1" applyFont="1" applyFill="1" applyBorder="1" applyAlignment="1" applyProtection="1">
      <alignment horizontal="center" vertical="center"/>
    </xf>
    <xf numFmtId="0" fontId="63" fillId="0" borderId="28" xfId="144" applyBorder="1" applyAlignment="1" applyProtection="1">
      <alignment horizontal="center" vertical="center"/>
    </xf>
    <xf numFmtId="0" fontId="63" fillId="0" borderId="29" xfId="144" applyBorder="1" applyAlignment="1" applyProtection="1">
      <alignment horizontal="center" vertical="center"/>
    </xf>
    <xf numFmtId="0" fontId="63" fillId="0" borderId="25" xfId="144" applyBorder="1" applyAlignment="1" applyProtection="1">
      <alignment horizontal="center" vertical="center"/>
    </xf>
    <xf numFmtId="0" fontId="63" fillId="0" borderId="0" xfId="144" applyAlignment="1" applyProtection="1">
      <alignment horizontal="center" vertical="center"/>
    </xf>
    <xf numFmtId="0" fontId="63" fillId="0" borderId="18" xfId="144" applyBorder="1" applyAlignment="1" applyProtection="1">
      <alignment horizontal="center" vertical="center"/>
    </xf>
    <xf numFmtId="0" fontId="63" fillId="0" borderId="19" xfId="144" applyBorder="1" applyAlignment="1" applyProtection="1">
      <alignment horizontal="center" vertical="center"/>
    </xf>
    <xf numFmtId="0" fontId="63" fillId="0" borderId="20" xfId="144" applyBorder="1" applyAlignment="1" applyProtection="1">
      <alignment horizontal="center" vertical="center"/>
    </xf>
    <xf numFmtId="0" fontId="63" fillId="0" borderId="21" xfId="144" applyBorder="1" applyAlignment="1" applyProtection="1">
      <alignment horizontal="center" vertical="center"/>
    </xf>
    <xf numFmtId="0" fontId="47" fillId="3" borderId="27" xfId="110" applyFont="1" applyFill="1" applyBorder="1" applyAlignment="1" applyProtection="1">
      <alignment horizontal="center" vertical="center"/>
      <protection locked="0"/>
    </xf>
    <xf numFmtId="0" fontId="47" fillId="3" borderId="28" xfId="110" applyFont="1" applyFill="1" applyBorder="1" applyAlignment="1" applyProtection="1">
      <alignment horizontal="center" vertical="center"/>
      <protection locked="0"/>
    </xf>
    <xf numFmtId="0" fontId="47" fillId="3" borderId="25" xfId="110" applyFont="1" applyFill="1" applyBorder="1" applyAlignment="1" applyProtection="1">
      <alignment horizontal="center" vertical="center"/>
      <protection locked="0"/>
    </xf>
    <xf numFmtId="0" fontId="47" fillId="3" borderId="0" xfId="110" applyFont="1" applyFill="1" applyBorder="1" applyAlignment="1" applyProtection="1">
      <alignment horizontal="center" vertical="center"/>
      <protection locked="0"/>
    </xf>
    <xf numFmtId="0" fontId="48" fillId="0" borderId="27" xfId="110" applyFont="1" applyFill="1" applyBorder="1" applyAlignment="1" applyProtection="1">
      <alignment horizontal="center" vertical="center"/>
    </xf>
    <xf numFmtId="0" fontId="48" fillId="0" borderId="29" xfId="110" applyFont="1" applyFill="1" applyBorder="1" applyAlignment="1" applyProtection="1">
      <alignment horizontal="center" vertical="center"/>
    </xf>
    <xf numFmtId="0" fontId="48" fillId="0" borderId="25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1" xfId="110" applyFont="1" applyFill="1" applyBorder="1" applyAlignment="1" applyProtection="1">
      <alignment horizontal="center" vertical="center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9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6" fillId="0" borderId="56" xfId="110" applyFont="1" applyFill="1" applyBorder="1" applyAlignment="1" applyProtection="1">
      <alignment horizontal="center" vertical="center"/>
    </xf>
    <xf numFmtId="0" fontId="6" fillId="0" borderId="6" xfId="110" applyFont="1" applyFill="1" applyBorder="1" applyAlignment="1" applyProtection="1">
      <alignment horizontal="center" vertical="center"/>
    </xf>
    <xf numFmtId="0" fontId="6" fillId="0" borderId="57" xfId="110" applyFont="1" applyFill="1" applyBorder="1" applyAlignment="1" applyProtection="1">
      <alignment horizontal="center" vertical="center"/>
    </xf>
    <xf numFmtId="0" fontId="6" fillId="0" borderId="58" xfId="110" applyFont="1" applyFill="1" applyBorder="1" applyAlignment="1" applyProtection="1">
      <alignment horizontal="center" vertical="center"/>
    </xf>
    <xf numFmtId="0" fontId="6" fillId="0" borderId="54" xfId="110" applyFont="1" applyFill="1" applyBorder="1" applyAlignment="1" applyProtection="1">
      <alignment horizontal="center" vertical="center"/>
    </xf>
    <xf numFmtId="0" fontId="6" fillId="0" borderId="55" xfId="110" applyFont="1" applyFill="1" applyBorder="1" applyAlignment="1" applyProtection="1">
      <alignment horizontal="center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56" fillId="0" borderId="4" xfId="135" applyFont="1" applyBorder="1" applyAlignment="1">
      <alignment horizontal="left"/>
    </xf>
    <xf numFmtId="0" fontId="56" fillId="0" borderId="5" xfId="135" applyFont="1" applyBorder="1" applyAlignment="1">
      <alignment horizontal="left"/>
    </xf>
    <xf numFmtId="0" fontId="56" fillId="0" borderId="24" xfId="135" applyFont="1" applyBorder="1" applyAlignment="1">
      <alignment horizontal="left"/>
    </xf>
  </cellXfs>
  <cellStyles count="146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5" xr:uid="{00000000-0005-0000-0000-000041000000}"/>
    <cellStyle name="PrePop Currency (0)" xfId="63" xr:uid="{00000000-0005-0000-0000-000042000000}"/>
    <cellStyle name="PrePop Currency (2)" xfId="64" xr:uid="{00000000-0005-0000-0000-000043000000}"/>
    <cellStyle name="PrePop Units (0)" xfId="65" xr:uid="{00000000-0005-0000-0000-000044000000}"/>
    <cellStyle name="PrePop Units (1)" xfId="66" xr:uid="{00000000-0005-0000-0000-000045000000}"/>
    <cellStyle name="PrePop Units (2)" xfId="67" xr:uid="{00000000-0005-0000-0000-000046000000}"/>
    <cellStyle name="PSChar" xfId="68" xr:uid="{00000000-0005-0000-0000-000047000000}"/>
    <cellStyle name="PSDate" xfId="69" xr:uid="{00000000-0005-0000-0000-000048000000}"/>
    <cellStyle name="PSDec" xfId="70" xr:uid="{00000000-0005-0000-0000-000049000000}"/>
    <cellStyle name="PSHeading" xfId="71" xr:uid="{00000000-0005-0000-0000-00004A000000}"/>
    <cellStyle name="PSInt" xfId="72" xr:uid="{00000000-0005-0000-0000-00004B000000}"/>
    <cellStyle name="PSSpacer" xfId="73" xr:uid="{00000000-0005-0000-0000-00004C000000}"/>
    <cellStyle name="Text Indent A" xfId="74" xr:uid="{00000000-0005-0000-0000-00004D000000}"/>
    <cellStyle name="Text Indent B" xfId="75" xr:uid="{00000000-0005-0000-0000-00004E000000}"/>
    <cellStyle name="Text Indent C" xfId="76" xr:uid="{00000000-0005-0000-0000-00004F000000}"/>
    <cellStyle name="アクセント 1" xfId="77" xr:uid="{00000000-0005-0000-0000-000050000000}"/>
    <cellStyle name="アクセント 2" xfId="78" xr:uid="{00000000-0005-0000-0000-000051000000}"/>
    <cellStyle name="アクセント 3" xfId="79" xr:uid="{00000000-0005-0000-0000-000052000000}"/>
    <cellStyle name="アクセント 4" xfId="80" xr:uid="{00000000-0005-0000-0000-000053000000}"/>
    <cellStyle name="アクセント 5" xfId="81" xr:uid="{00000000-0005-0000-0000-000054000000}"/>
    <cellStyle name="アクセント 6" xfId="82" xr:uid="{00000000-0005-0000-0000-000055000000}"/>
    <cellStyle name="ｵﾒﾁ｡ﾒﾃ爼ﾗ靉ﾁ篦ｧﾋﾅﾒﾂﾁﾔｵﾔ" xfId="83" xr:uid="{00000000-0005-0000-0000-000056000000}"/>
    <cellStyle name="ｻ｡ｵﾔ_NEGS" xfId="84" xr:uid="{00000000-0005-0000-0000-000057000000}"/>
    <cellStyle name="タイトル" xfId="85" xr:uid="{00000000-0005-0000-0000-000058000000}"/>
    <cellStyle name="チェック セル" xfId="86" xr:uid="{00000000-0005-0000-0000-000059000000}"/>
    <cellStyle name="どちらでもない" xfId="87" xr:uid="{00000000-0005-0000-0000-00005A000000}"/>
    <cellStyle name="メモ" xfId="88" xr:uid="{00000000-0005-0000-0000-00005B000000}"/>
    <cellStyle name="リンク セル" xfId="89" xr:uid="{00000000-0005-0000-0000-00005C000000}"/>
    <cellStyle name="เปอร์เซ็นต์ 4" xfId="142" xr:uid="{00000000-0005-0000-0000-00007E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F000000}"/>
    <cellStyle name="出力" xfId="92" xr:uid="{00000000-0005-0000-0000-000080000000}"/>
    <cellStyle name="悪い" xfId="93" xr:uid="{00000000-0005-0000-0000-000081000000}"/>
    <cellStyle name="未定義" xfId="94" xr:uid="{00000000-0005-0000-0000-000082000000}"/>
    <cellStyle name="標準 2" xfId="2" xr:uid="{00000000-0005-0000-0000-000083000000}"/>
    <cellStyle name="爨ﾃﾗ靉ｧﾋﾁﾒﾂｨﾘﾅﾀﾒ､ [0]_NEGS" xfId="95" xr:uid="{00000000-0005-0000-0000-000084000000}"/>
    <cellStyle name="爨ﾃﾗ靉ｧﾋﾁﾒﾂｨﾘﾅﾀﾒ､_NEGS" xfId="96" xr:uid="{00000000-0005-0000-0000-000085000000}"/>
    <cellStyle name="爨ﾃﾗ靉ｧﾋﾁﾒﾂﾊ｡ﾘﾅ爰ﾔｹ [0]_NEGS" xfId="97" xr:uid="{00000000-0005-0000-0000-000086000000}"/>
    <cellStyle name="爨ﾃﾗ靉ｧﾋﾁﾒﾂﾊ｡ﾘﾅ爰ﾔｹ_NEGS" xfId="98" xr:uid="{00000000-0005-0000-0000-000087000000}"/>
    <cellStyle name="爼ﾗ靉ﾁ篦ｧﾋﾅﾒﾂﾁﾔｵﾔ" xfId="99" xr:uid="{00000000-0005-0000-0000-000088000000}"/>
    <cellStyle name="良い" xfId="100" xr:uid="{00000000-0005-0000-0000-000089000000}"/>
    <cellStyle name="見出し 1" xfId="101" xr:uid="{00000000-0005-0000-0000-00008A000000}"/>
    <cellStyle name="見出し 2" xfId="102" xr:uid="{00000000-0005-0000-0000-00008B000000}"/>
    <cellStyle name="見出し 3" xfId="103" xr:uid="{00000000-0005-0000-0000-00008C000000}"/>
    <cellStyle name="見出し 4" xfId="104" xr:uid="{00000000-0005-0000-0000-00008D000000}"/>
    <cellStyle name="計算" xfId="105" xr:uid="{00000000-0005-0000-0000-00008E000000}"/>
    <cellStyle name="説明文" xfId="106" xr:uid="{00000000-0005-0000-0000-00008F000000}"/>
    <cellStyle name="警告文" xfId="107" xr:uid="{00000000-0005-0000-0000-000090000000}"/>
    <cellStyle name="集計" xfId="108" xr:uid="{00000000-0005-0000-0000-000091000000}"/>
  </cellStyles>
  <dxfs count="8"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0</xdr:rowOff>
    </xdr:from>
    <xdr:to>
      <xdr:col>12</xdr:col>
      <xdr:colOff>57150</xdr:colOff>
      <xdr:row>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47C349-A0A5-461D-82E6-3C2CAFBDE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57400" y="0"/>
          <a:ext cx="29718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152400</xdr:colOff>
      <xdr:row>0</xdr:row>
      <xdr:rowOff>0</xdr:rowOff>
    </xdr:from>
    <xdr:to>
      <xdr:col>2</xdr:col>
      <xdr:colOff>704850</xdr:colOff>
      <xdr:row>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C9534A-0AA0-4013-B82C-28CC962EE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00025" y="0"/>
          <a:ext cx="1276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171450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9925BA6-A5F1-4304-AFBF-BBA87A196B8C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11715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ซ้ำกับ </a:t>
          </a:r>
          <a:r>
            <a:rPr lang="en-US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A </a:t>
          </a: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อีก 4 ชั้น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9</xdr:col>
      <xdr:colOff>333375</xdr:colOff>
      <xdr:row>0</xdr:row>
      <xdr:rowOff>0</xdr:rowOff>
    </xdr:from>
    <xdr:to>
      <xdr:col>11</xdr:col>
      <xdr:colOff>323850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065B18D-FB62-4840-86F5-ACBC9E399692}"/>
            </a:ext>
          </a:extLst>
        </xdr:cNvPr>
        <xdr:cNvSpPr>
          <a:spLocks noChangeArrowheads="1"/>
        </xdr:cNvSpPr>
      </xdr:nvSpPr>
      <xdr:spPr bwMode="auto">
        <a:xfrm>
          <a:off x="4244975" y="0"/>
          <a:ext cx="69850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9</xdr:col>
      <xdr:colOff>342900</xdr:colOff>
      <xdr:row>0</xdr:row>
      <xdr:rowOff>0</xdr:rowOff>
    </xdr:from>
    <xdr:to>
      <xdr:col>12</xdr:col>
      <xdr:colOff>57150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4C16D44-5D0C-491B-8231-A592AA96C322}"/>
            </a:ext>
          </a:extLst>
        </xdr:cNvPr>
        <xdr:cNvSpPr>
          <a:spLocks noChangeArrowheads="1"/>
        </xdr:cNvSpPr>
      </xdr:nvSpPr>
      <xdr:spPr bwMode="auto">
        <a:xfrm>
          <a:off x="4257675" y="0"/>
          <a:ext cx="7715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8</xdr:col>
      <xdr:colOff>133350</xdr:colOff>
      <xdr:row>0</xdr:row>
      <xdr:rowOff>0</xdr:rowOff>
    </xdr:from>
    <xdr:to>
      <xdr:col>12</xdr:col>
      <xdr:colOff>304800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CF5B9BF-76CF-4355-9112-1ADD4FBD0C61}"/>
            </a:ext>
          </a:extLst>
        </xdr:cNvPr>
        <xdr:cNvSpPr>
          <a:spLocks noChangeArrowheads="1"/>
        </xdr:cNvSpPr>
      </xdr:nvSpPr>
      <xdr:spPr bwMode="auto">
        <a:xfrm>
          <a:off x="3695700" y="0"/>
          <a:ext cx="15811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แผ่นรองเจาะรู จับยึดชิ้นงาน</a:t>
          </a:r>
        </a:p>
        <a:p>
          <a:pPr algn="l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4EC607-A680-488A-9734-6A00B59A8F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605" t="15973" r="87239" b="78009"/>
        <a:stretch>
          <a:fillRect/>
        </a:stretch>
      </xdr:blipFill>
      <xdr:spPr bwMode="auto">
        <a:xfrm>
          <a:off x="123825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CCE43AF-FC0D-4F35-945F-221EDADF6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605" t="15973" r="87239" b="78009"/>
        <a:stretch>
          <a:fillRect/>
        </a:stretch>
      </xdr:blipFill>
      <xdr:spPr bwMode="auto">
        <a:xfrm>
          <a:off x="123825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0</xdr:colOff>
      <xdr:row>49</xdr:row>
      <xdr:rowOff>28575</xdr:rowOff>
    </xdr:from>
    <xdr:to>
      <xdr:col>7</xdr:col>
      <xdr:colOff>38100</xdr:colOff>
      <xdr:row>52</xdr:row>
      <xdr:rowOff>114300</xdr:rowOff>
    </xdr:to>
    <xdr:sp macro="" textlink="">
      <xdr:nvSpPr>
        <xdr:cNvPr id="10" name="Rectangle 139">
          <a:extLst>
            <a:ext uri="{FF2B5EF4-FFF2-40B4-BE49-F238E27FC236}">
              <a16:creationId xmlns:a16="http://schemas.microsoft.com/office/drawing/2014/main" id="{7CF094A4-19E4-461E-8319-2CC19E458C1F}"/>
            </a:ext>
          </a:extLst>
        </xdr:cNvPr>
        <xdr:cNvSpPr>
          <a:spLocks noChangeArrowheads="1"/>
        </xdr:cNvSpPr>
      </xdr:nvSpPr>
      <xdr:spPr bwMode="auto">
        <a:xfrm>
          <a:off x="2790825" y="12417425"/>
          <a:ext cx="457200" cy="5175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" sqref="B1:B1048576"/>
    </sheetView>
  </sheetViews>
  <sheetFormatPr defaultRowHeight="13"/>
  <cols>
    <col min="1" max="1" width="9" style="3"/>
    <col min="2" max="2" width="19.26953125" customWidth="1"/>
    <col min="3" max="3" width="21.26953125" style="3" bestFit="1" customWidth="1"/>
    <col min="4" max="4" width="23.08984375" customWidth="1"/>
  </cols>
  <sheetData>
    <row r="1" spans="1:4" s="1" customFormat="1">
      <c r="A1" s="2">
        <v>1</v>
      </c>
      <c r="B1" s="116"/>
      <c r="C1" s="2" t="s">
        <v>91</v>
      </c>
      <c r="D1" s="1" t="s">
        <v>26</v>
      </c>
    </row>
    <row r="2" spans="1:4" s="1" customFormat="1">
      <c r="A2" s="2">
        <v>2</v>
      </c>
      <c r="B2" s="116"/>
      <c r="C2" s="2" t="s">
        <v>1</v>
      </c>
    </row>
    <row r="3" spans="1:4" s="1" customFormat="1">
      <c r="A3" s="2">
        <v>3</v>
      </c>
      <c r="C3" s="2" t="s">
        <v>335</v>
      </c>
    </row>
    <row r="4" spans="1:4" s="1" customFormat="1">
      <c r="A4" s="2">
        <v>4</v>
      </c>
      <c r="C4" s="2" t="s">
        <v>336</v>
      </c>
    </row>
    <row r="5" spans="1:4" s="1" customFormat="1">
      <c r="A5" s="2">
        <v>5</v>
      </c>
      <c r="C5" s="2" t="s">
        <v>338</v>
      </c>
    </row>
    <row r="6" spans="1:4" s="1" customFormat="1">
      <c r="A6" s="2">
        <v>6</v>
      </c>
      <c r="C6" s="2" t="s">
        <v>337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339</v>
      </c>
    </row>
    <row r="11" spans="1:4" s="1" customFormat="1">
      <c r="A11" s="2">
        <v>11</v>
      </c>
      <c r="B11" s="174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340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341</v>
      </c>
    </row>
    <row r="16" spans="1:4" s="1" customFormat="1">
      <c r="A16" s="2">
        <v>16</v>
      </c>
      <c r="C16" s="2" t="s">
        <v>343</v>
      </c>
    </row>
    <row r="17" spans="1:4" s="1" customFormat="1">
      <c r="A17" s="2">
        <v>17</v>
      </c>
      <c r="C17" s="2" t="s">
        <v>342</v>
      </c>
    </row>
    <row r="18" spans="1:4" s="1" customFormat="1">
      <c r="A18" s="2">
        <v>18</v>
      </c>
      <c r="C18" s="2" t="s">
        <v>344</v>
      </c>
    </row>
    <row r="19" spans="1:4" s="1" customFormat="1">
      <c r="A19" s="2">
        <v>19</v>
      </c>
      <c r="C19" s="2" t="s">
        <v>27</v>
      </c>
    </row>
    <row r="20" spans="1:4" s="1" customFormat="1" ht="13.5" thickBot="1">
      <c r="A20" s="2">
        <v>20</v>
      </c>
      <c r="C20" s="2" t="s">
        <v>28</v>
      </c>
    </row>
    <row r="21" spans="1:4" s="41" customFormat="1">
      <c r="A21" s="3">
        <v>21</v>
      </c>
      <c r="B21" s="43"/>
      <c r="C21" s="43" t="s">
        <v>101</v>
      </c>
      <c r="D21" s="41" t="s">
        <v>100</v>
      </c>
    </row>
    <row r="22" spans="1:4" s="41" customFormat="1">
      <c r="A22" s="3">
        <v>22</v>
      </c>
      <c r="B22" s="40"/>
      <c r="C22" s="40" t="s">
        <v>102</v>
      </c>
      <c r="D22" s="41">
        <v>1</v>
      </c>
    </row>
    <row r="23" spans="1:4" s="41" customFormat="1">
      <c r="A23" s="3">
        <v>23</v>
      </c>
      <c r="B23" s="40"/>
      <c r="C23" s="40" t="s">
        <v>105</v>
      </c>
    </row>
    <row r="24" spans="1:4" s="41" customFormat="1">
      <c r="A24" s="3">
        <v>24</v>
      </c>
      <c r="B24" s="40"/>
      <c r="C24" s="40" t="s">
        <v>106</v>
      </c>
    </row>
    <row r="25" spans="1:4" s="41" customFormat="1">
      <c r="A25" s="3">
        <v>25</v>
      </c>
      <c r="B25" s="40"/>
      <c r="C25" s="40" t="s">
        <v>104</v>
      </c>
    </row>
    <row r="26" spans="1:4" s="41" customFormat="1">
      <c r="A26" s="3">
        <v>26</v>
      </c>
      <c r="B26" s="40"/>
      <c r="C26" s="40" t="s">
        <v>103</v>
      </c>
    </row>
    <row r="27" spans="1:4" s="41" customFormat="1">
      <c r="A27" s="3">
        <v>27</v>
      </c>
      <c r="B27" s="40"/>
      <c r="C27" s="40" t="s">
        <v>107</v>
      </c>
    </row>
    <row r="28" spans="1:4" s="41" customFormat="1">
      <c r="A28" s="3">
        <v>28</v>
      </c>
      <c r="B28" s="40"/>
      <c r="C28" s="40" t="s">
        <v>112</v>
      </c>
    </row>
    <row r="29" spans="1:4" s="41" customFormat="1">
      <c r="A29" s="3">
        <v>29</v>
      </c>
      <c r="B29" s="40"/>
      <c r="C29" s="40" t="s">
        <v>70</v>
      </c>
    </row>
    <row r="30" spans="1:4" s="41" customFormat="1" ht="13.5" thickBot="1">
      <c r="A30" s="3">
        <v>30</v>
      </c>
      <c r="B30" s="42"/>
      <c r="C30" s="42" t="s">
        <v>27</v>
      </c>
    </row>
    <row r="31" spans="1:4" s="41" customFormat="1">
      <c r="A31" s="3">
        <v>31</v>
      </c>
      <c r="B31" s="40"/>
      <c r="C31" s="43" t="s">
        <v>101</v>
      </c>
      <c r="D31" s="41" t="s">
        <v>100</v>
      </c>
    </row>
    <row r="32" spans="1:4" s="41" customFormat="1">
      <c r="A32" s="3">
        <v>32</v>
      </c>
      <c r="B32" s="57"/>
      <c r="C32" s="40" t="s">
        <v>102</v>
      </c>
      <c r="D32" s="41">
        <v>2</v>
      </c>
    </row>
    <row r="33" spans="1:4" s="41" customFormat="1">
      <c r="A33" s="3">
        <v>33</v>
      </c>
      <c r="B33" s="57"/>
      <c r="C33" s="40" t="s">
        <v>105</v>
      </c>
    </row>
    <row r="34" spans="1:4" s="41" customFormat="1">
      <c r="A34" s="3">
        <v>34</v>
      </c>
      <c r="B34" s="57"/>
      <c r="C34" s="40" t="s">
        <v>106</v>
      </c>
    </row>
    <row r="35" spans="1:4" s="41" customFormat="1">
      <c r="A35" s="3">
        <v>35</v>
      </c>
      <c r="B35" s="40"/>
      <c r="C35" s="40" t="s">
        <v>104</v>
      </c>
    </row>
    <row r="36" spans="1:4" s="41" customFormat="1">
      <c r="A36" s="3">
        <v>36</v>
      </c>
      <c r="B36" s="40"/>
      <c r="C36" s="40" t="s">
        <v>103</v>
      </c>
    </row>
    <row r="37" spans="1:4" s="41" customFormat="1">
      <c r="A37" s="3">
        <v>37</v>
      </c>
      <c r="B37" s="40"/>
      <c r="C37" s="40" t="s">
        <v>107</v>
      </c>
    </row>
    <row r="38" spans="1:4" s="41" customFormat="1">
      <c r="A38" s="3">
        <v>38</v>
      </c>
      <c r="B38" s="40"/>
      <c r="C38" s="40" t="s">
        <v>112</v>
      </c>
    </row>
    <row r="39" spans="1:4" s="41" customFormat="1">
      <c r="A39" s="3">
        <v>39</v>
      </c>
      <c r="B39" s="40"/>
      <c r="C39" s="40" t="s">
        <v>70</v>
      </c>
    </row>
    <row r="40" spans="1:4" s="41" customFormat="1" ht="13.5" thickBot="1">
      <c r="A40" s="3">
        <v>40</v>
      </c>
      <c r="B40" s="42"/>
      <c r="C40" s="42" t="s">
        <v>27</v>
      </c>
    </row>
    <row r="41" spans="1:4" s="41" customFormat="1">
      <c r="A41" s="3">
        <v>41</v>
      </c>
      <c r="B41" s="40"/>
      <c r="C41" s="43" t="s">
        <v>101</v>
      </c>
      <c r="D41" s="41" t="s">
        <v>100</v>
      </c>
    </row>
    <row r="42" spans="1:4" s="41" customFormat="1">
      <c r="A42" s="3">
        <v>42</v>
      </c>
      <c r="B42" s="40"/>
      <c r="C42" s="40" t="s">
        <v>102</v>
      </c>
      <c r="D42" s="41">
        <v>3</v>
      </c>
    </row>
    <row r="43" spans="1:4" s="41" customFormat="1">
      <c r="A43" s="3">
        <v>43</v>
      </c>
      <c r="B43" s="40"/>
      <c r="C43" s="40" t="s">
        <v>105</v>
      </c>
    </row>
    <row r="44" spans="1:4" s="41" customFormat="1">
      <c r="A44" s="3">
        <v>44</v>
      </c>
      <c r="B44" s="40"/>
      <c r="C44" s="40" t="s">
        <v>106</v>
      </c>
    </row>
    <row r="45" spans="1:4" s="41" customFormat="1">
      <c r="A45" s="3">
        <v>45</v>
      </c>
      <c r="B45" s="40"/>
      <c r="C45" s="40" t="s">
        <v>104</v>
      </c>
    </row>
    <row r="46" spans="1:4" s="41" customFormat="1">
      <c r="A46" s="3">
        <v>46</v>
      </c>
      <c r="B46" s="40"/>
      <c r="C46" s="40" t="s">
        <v>103</v>
      </c>
    </row>
    <row r="47" spans="1:4" s="41" customFormat="1">
      <c r="A47" s="3">
        <v>47</v>
      </c>
      <c r="B47" s="40"/>
      <c r="C47" s="40" t="s">
        <v>107</v>
      </c>
    </row>
    <row r="48" spans="1:4" s="41" customFormat="1">
      <c r="A48" s="3">
        <v>48</v>
      </c>
      <c r="B48" s="40"/>
      <c r="C48" s="40" t="s">
        <v>112</v>
      </c>
    </row>
    <row r="49" spans="1:4" s="41" customFormat="1">
      <c r="A49" s="3">
        <v>49</v>
      </c>
      <c r="B49" s="40"/>
      <c r="C49" s="40" t="s">
        <v>70</v>
      </c>
    </row>
    <row r="50" spans="1:4" s="41" customFormat="1" ht="13.5" thickBot="1">
      <c r="A50" s="3">
        <v>50</v>
      </c>
      <c r="B50" s="42"/>
      <c r="C50" s="42" t="s">
        <v>27</v>
      </c>
    </row>
    <row r="51" spans="1:4" s="41" customFormat="1">
      <c r="A51" s="3">
        <v>51</v>
      </c>
      <c r="B51" s="40"/>
      <c r="C51" s="43" t="s">
        <v>101</v>
      </c>
      <c r="D51" s="41" t="s">
        <v>100</v>
      </c>
    </row>
    <row r="52" spans="1:4" s="41" customFormat="1">
      <c r="A52" s="3">
        <v>52</v>
      </c>
      <c r="B52" s="40"/>
      <c r="C52" s="40" t="s">
        <v>102</v>
      </c>
      <c r="D52" s="41">
        <v>4</v>
      </c>
    </row>
    <row r="53" spans="1:4" s="41" customFormat="1">
      <c r="A53" s="3">
        <v>53</v>
      </c>
      <c r="B53" s="40"/>
      <c r="C53" s="40" t="s">
        <v>105</v>
      </c>
    </row>
    <row r="54" spans="1:4" s="41" customFormat="1">
      <c r="A54" s="3">
        <v>54</v>
      </c>
      <c r="B54" s="40"/>
      <c r="C54" s="40" t="s">
        <v>106</v>
      </c>
    </row>
    <row r="55" spans="1:4" s="41" customFormat="1">
      <c r="A55" s="3">
        <v>55</v>
      </c>
      <c r="B55" s="40"/>
      <c r="C55" s="40" t="s">
        <v>104</v>
      </c>
    </row>
    <row r="56" spans="1:4" s="41" customFormat="1">
      <c r="A56" s="3">
        <v>56</v>
      </c>
      <c r="B56" s="40"/>
      <c r="C56" s="40" t="s">
        <v>103</v>
      </c>
    </row>
    <row r="57" spans="1:4" s="41" customFormat="1">
      <c r="A57" s="3">
        <v>57</v>
      </c>
      <c r="B57" s="40"/>
      <c r="C57" s="40" t="s">
        <v>107</v>
      </c>
    </row>
    <row r="58" spans="1:4" s="41" customFormat="1">
      <c r="A58" s="3">
        <v>58</v>
      </c>
      <c r="B58" s="40"/>
      <c r="C58" s="40" t="s">
        <v>112</v>
      </c>
    </row>
    <row r="59" spans="1:4" s="41" customFormat="1">
      <c r="A59" s="3">
        <v>59</v>
      </c>
      <c r="B59" s="40"/>
      <c r="C59" s="40" t="s">
        <v>70</v>
      </c>
    </row>
    <row r="60" spans="1:4" s="41" customFormat="1" ht="13.5" thickBot="1">
      <c r="A60" s="3">
        <v>60</v>
      </c>
      <c r="B60" s="42"/>
      <c r="C60" s="42" t="s">
        <v>27</v>
      </c>
    </row>
    <row r="61" spans="1:4" s="41" customFormat="1">
      <c r="A61" s="3">
        <v>61</v>
      </c>
      <c r="B61" s="40"/>
      <c r="C61" s="43" t="s">
        <v>101</v>
      </c>
      <c r="D61" s="41" t="s">
        <v>100</v>
      </c>
    </row>
    <row r="62" spans="1:4" s="41" customFormat="1">
      <c r="A62" s="3">
        <v>62</v>
      </c>
      <c r="B62" s="40"/>
      <c r="C62" s="40" t="s">
        <v>102</v>
      </c>
      <c r="D62" s="41">
        <v>5</v>
      </c>
    </row>
    <row r="63" spans="1:4" s="41" customFormat="1">
      <c r="A63" s="3">
        <v>63</v>
      </c>
      <c r="B63" s="40"/>
      <c r="C63" s="40" t="s">
        <v>105</v>
      </c>
    </row>
    <row r="64" spans="1:4" s="41" customFormat="1">
      <c r="A64" s="3">
        <v>64</v>
      </c>
      <c r="B64" s="40"/>
      <c r="C64" s="40" t="s">
        <v>106</v>
      </c>
    </row>
    <row r="65" spans="1:4" s="41" customFormat="1">
      <c r="A65" s="3">
        <v>65</v>
      </c>
      <c r="B65" s="40"/>
      <c r="C65" s="40" t="s">
        <v>104</v>
      </c>
    </row>
    <row r="66" spans="1:4" s="41" customFormat="1">
      <c r="A66" s="3">
        <v>66</v>
      </c>
      <c r="B66" s="40"/>
      <c r="C66" s="40" t="s">
        <v>103</v>
      </c>
    </row>
    <row r="67" spans="1:4" s="41" customFormat="1">
      <c r="A67" s="3">
        <v>67</v>
      </c>
      <c r="B67" s="40"/>
      <c r="C67" s="40" t="s">
        <v>107</v>
      </c>
    </row>
    <row r="68" spans="1:4" s="41" customFormat="1">
      <c r="A68" s="3">
        <v>68</v>
      </c>
      <c r="B68" s="40"/>
      <c r="C68" s="40" t="s">
        <v>112</v>
      </c>
    </row>
    <row r="69" spans="1:4" s="41" customFormat="1">
      <c r="A69" s="3">
        <v>69</v>
      </c>
      <c r="B69" s="40"/>
      <c r="C69" s="40" t="s">
        <v>70</v>
      </c>
    </row>
    <row r="70" spans="1:4" s="41" customFormat="1" ht="13.5" thickBot="1">
      <c r="A70" s="3">
        <v>70</v>
      </c>
      <c r="B70" s="42"/>
      <c r="C70" s="42" t="s">
        <v>27</v>
      </c>
    </row>
    <row r="71" spans="1:4" s="41" customFormat="1">
      <c r="A71" s="3">
        <v>71</v>
      </c>
      <c r="B71" s="40"/>
      <c r="C71" s="43" t="s">
        <v>101</v>
      </c>
      <c r="D71" s="41" t="s">
        <v>100</v>
      </c>
    </row>
    <row r="72" spans="1:4" s="41" customFormat="1">
      <c r="A72" s="3">
        <v>72</v>
      </c>
      <c r="B72" s="40"/>
      <c r="C72" s="40" t="s">
        <v>102</v>
      </c>
      <c r="D72" s="41">
        <v>6</v>
      </c>
    </row>
    <row r="73" spans="1:4" s="41" customFormat="1">
      <c r="A73" s="3">
        <v>73</v>
      </c>
      <c r="B73" s="40"/>
      <c r="C73" s="40" t="s">
        <v>105</v>
      </c>
    </row>
    <row r="74" spans="1:4" s="41" customFormat="1">
      <c r="A74" s="3">
        <v>74</v>
      </c>
      <c r="B74" s="40"/>
      <c r="C74" s="40" t="s">
        <v>106</v>
      </c>
    </row>
    <row r="75" spans="1:4" s="41" customFormat="1">
      <c r="A75" s="3">
        <v>75</v>
      </c>
      <c r="B75" s="40"/>
      <c r="C75" s="40" t="s">
        <v>104</v>
      </c>
    </row>
    <row r="76" spans="1:4" s="41" customFormat="1">
      <c r="A76" s="3">
        <v>76</v>
      </c>
      <c r="B76" s="40"/>
      <c r="C76" s="40" t="s">
        <v>103</v>
      </c>
    </row>
    <row r="77" spans="1:4" s="41" customFormat="1">
      <c r="A77" s="3">
        <v>77</v>
      </c>
      <c r="B77" s="40"/>
      <c r="C77" s="40" t="s">
        <v>107</v>
      </c>
    </row>
    <row r="78" spans="1:4" s="41" customFormat="1">
      <c r="A78" s="3">
        <v>78</v>
      </c>
      <c r="B78" s="40"/>
      <c r="C78" s="40" t="s">
        <v>112</v>
      </c>
    </row>
    <row r="79" spans="1:4" s="41" customFormat="1">
      <c r="A79" s="3">
        <v>79</v>
      </c>
      <c r="B79" s="40"/>
      <c r="C79" s="40" t="s">
        <v>70</v>
      </c>
    </row>
    <row r="80" spans="1:4" s="41" customFormat="1" ht="13.5" thickBot="1">
      <c r="A80" s="3">
        <v>80</v>
      </c>
      <c r="B80" s="42"/>
      <c r="C80" s="42" t="s">
        <v>27</v>
      </c>
    </row>
    <row r="81" spans="1:4" s="41" customFormat="1">
      <c r="A81" s="3">
        <v>81</v>
      </c>
      <c r="B81" s="40"/>
      <c r="C81" s="43" t="s">
        <v>101</v>
      </c>
      <c r="D81" s="41" t="s">
        <v>100</v>
      </c>
    </row>
    <row r="82" spans="1:4" s="41" customFormat="1">
      <c r="A82" s="3">
        <v>82</v>
      </c>
      <c r="B82" s="40"/>
      <c r="C82" s="40" t="s">
        <v>102</v>
      </c>
      <c r="D82" s="41">
        <v>7</v>
      </c>
    </row>
    <row r="83" spans="1:4" s="41" customFormat="1">
      <c r="A83" s="3">
        <v>83</v>
      </c>
      <c r="B83" s="40"/>
      <c r="C83" s="40" t="s">
        <v>105</v>
      </c>
    </row>
    <row r="84" spans="1:4" s="41" customFormat="1">
      <c r="A84" s="3">
        <v>84</v>
      </c>
      <c r="B84" s="40"/>
      <c r="C84" s="40" t="s">
        <v>106</v>
      </c>
    </row>
    <row r="85" spans="1:4" s="41" customFormat="1">
      <c r="A85" s="3">
        <v>85</v>
      </c>
      <c r="B85" s="40"/>
      <c r="C85" s="40" t="s">
        <v>104</v>
      </c>
    </row>
    <row r="86" spans="1:4" s="41" customFormat="1">
      <c r="A86" s="3">
        <v>86</v>
      </c>
      <c r="B86" s="40"/>
      <c r="C86" s="40" t="s">
        <v>103</v>
      </c>
    </row>
    <row r="87" spans="1:4" s="41" customFormat="1">
      <c r="A87" s="3">
        <v>87</v>
      </c>
      <c r="B87" s="40"/>
      <c r="C87" s="40" t="s">
        <v>107</v>
      </c>
    </row>
    <row r="88" spans="1:4" s="41" customFormat="1">
      <c r="A88" s="3">
        <v>88</v>
      </c>
      <c r="B88" s="40"/>
      <c r="C88" s="40" t="s">
        <v>112</v>
      </c>
    </row>
    <row r="89" spans="1:4" s="41" customFormat="1">
      <c r="A89" s="3">
        <v>89</v>
      </c>
      <c r="B89" s="40"/>
      <c r="C89" s="40" t="s">
        <v>70</v>
      </c>
    </row>
    <row r="90" spans="1:4" s="41" customFormat="1" ht="13.5" thickBot="1">
      <c r="A90" s="3">
        <v>90</v>
      </c>
      <c r="B90" s="42"/>
      <c r="C90" s="42" t="s">
        <v>27</v>
      </c>
    </row>
    <row r="91" spans="1:4" s="41" customFormat="1">
      <c r="A91" s="3">
        <v>91</v>
      </c>
      <c r="B91" s="40"/>
      <c r="C91" s="43" t="s">
        <v>101</v>
      </c>
      <c r="D91" s="41" t="s">
        <v>100</v>
      </c>
    </row>
    <row r="92" spans="1:4" s="41" customFormat="1">
      <c r="A92" s="3">
        <v>92</v>
      </c>
      <c r="B92" s="40"/>
      <c r="C92" s="40" t="s">
        <v>102</v>
      </c>
      <c r="D92" s="41">
        <v>8</v>
      </c>
    </row>
    <row r="93" spans="1:4" s="41" customFormat="1">
      <c r="A93" s="3">
        <v>93</v>
      </c>
      <c r="B93" s="40"/>
      <c r="C93" s="40" t="s">
        <v>105</v>
      </c>
    </row>
    <row r="94" spans="1:4" s="41" customFormat="1">
      <c r="A94" s="3">
        <v>94</v>
      </c>
      <c r="B94" s="40"/>
      <c r="C94" s="40" t="s">
        <v>106</v>
      </c>
    </row>
    <row r="95" spans="1:4" s="41" customFormat="1">
      <c r="A95" s="3">
        <v>95</v>
      </c>
      <c r="B95" s="40"/>
      <c r="C95" s="40" t="s">
        <v>104</v>
      </c>
    </row>
    <row r="96" spans="1:4" s="41" customFormat="1">
      <c r="A96" s="3">
        <v>96</v>
      </c>
      <c r="B96" s="40"/>
      <c r="C96" s="40" t="s">
        <v>103</v>
      </c>
    </row>
    <row r="97" spans="1:4" s="41" customFormat="1">
      <c r="A97" s="3">
        <v>97</v>
      </c>
      <c r="B97" s="40"/>
      <c r="C97" s="40" t="s">
        <v>107</v>
      </c>
    </row>
    <row r="98" spans="1:4" s="41" customFormat="1">
      <c r="A98" s="3">
        <v>98</v>
      </c>
      <c r="B98" s="40"/>
      <c r="C98" s="40" t="s">
        <v>112</v>
      </c>
    </row>
    <row r="99" spans="1:4" s="41" customFormat="1">
      <c r="A99" s="3">
        <v>99</v>
      </c>
      <c r="B99" s="40"/>
      <c r="C99" s="40" t="s">
        <v>70</v>
      </c>
    </row>
    <row r="100" spans="1:4" s="41" customFormat="1" ht="13.5" thickBot="1">
      <c r="A100" s="3">
        <v>100</v>
      </c>
      <c r="B100" s="42"/>
      <c r="C100" s="42" t="s">
        <v>27</v>
      </c>
    </row>
    <row r="101" spans="1:4" s="41" customFormat="1">
      <c r="A101" s="3">
        <v>101</v>
      </c>
      <c r="B101" s="40"/>
      <c r="C101" s="43" t="s">
        <v>101</v>
      </c>
      <c r="D101" s="41" t="s">
        <v>100</v>
      </c>
    </row>
    <row r="102" spans="1:4" s="41" customFormat="1">
      <c r="A102" s="3">
        <v>102</v>
      </c>
      <c r="B102" s="40"/>
      <c r="C102" s="40" t="s">
        <v>102</v>
      </c>
      <c r="D102" s="41">
        <v>9</v>
      </c>
    </row>
    <row r="103" spans="1:4" s="41" customFormat="1">
      <c r="A103" s="3">
        <v>103</v>
      </c>
      <c r="B103" s="40"/>
      <c r="C103" s="40" t="s">
        <v>105</v>
      </c>
    </row>
    <row r="104" spans="1:4" s="41" customFormat="1">
      <c r="A104" s="3">
        <v>104</v>
      </c>
      <c r="B104" s="40"/>
      <c r="C104" s="40" t="s">
        <v>106</v>
      </c>
    </row>
    <row r="105" spans="1:4" s="41" customFormat="1">
      <c r="A105" s="3">
        <v>105</v>
      </c>
      <c r="B105" s="40"/>
      <c r="C105" s="40" t="s">
        <v>104</v>
      </c>
    </row>
    <row r="106" spans="1:4" s="41" customFormat="1">
      <c r="A106" s="3">
        <v>106</v>
      </c>
      <c r="B106" s="40"/>
      <c r="C106" s="40" t="s">
        <v>103</v>
      </c>
    </row>
    <row r="107" spans="1:4" s="41" customFormat="1">
      <c r="A107" s="3">
        <v>107</v>
      </c>
      <c r="B107" s="40"/>
      <c r="C107" s="40" t="s">
        <v>107</v>
      </c>
    </row>
    <row r="108" spans="1:4" s="41" customFormat="1">
      <c r="A108" s="3">
        <v>108</v>
      </c>
      <c r="B108" s="40"/>
      <c r="C108" s="40" t="s">
        <v>112</v>
      </c>
    </row>
    <row r="109" spans="1:4" s="41" customFormat="1">
      <c r="A109" s="3">
        <v>109</v>
      </c>
      <c r="B109" s="40"/>
      <c r="C109" s="40" t="s">
        <v>70</v>
      </c>
    </row>
    <row r="110" spans="1:4" s="41" customFormat="1" ht="13.5" thickBot="1">
      <c r="A110" s="3">
        <v>110</v>
      </c>
      <c r="B110" s="42"/>
      <c r="C110" s="42" t="s">
        <v>27</v>
      </c>
    </row>
    <row r="111" spans="1:4" s="41" customFormat="1">
      <c r="A111" s="3">
        <v>111</v>
      </c>
      <c r="B111" s="40"/>
      <c r="C111" s="43" t="s">
        <v>101</v>
      </c>
      <c r="D111" s="41" t="s">
        <v>100</v>
      </c>
    </row>
    <row r="112" spans="1:4" s="41" customFormat="1">
      <c r="A112" s="3">
        <v>112</v>
      </c>
      <c r="B112" s="40"/>
      <c r="C112" s="40" t="s">
        <v>102</v>
      </c>
      <c r="D112" s="41">
        <v>10</v>
      </c>
    </row>
    <row r="113" spans="1:4" s="41" customFormat="1">
      <c r="A113" s="3">
        <v>113</v>
      </c>
      <c r="B113" s="40"/>
      <c r="C113" s="40" t="s">
        <v>105</v>
      </c>
    </row>
    <row r="114" spans="1:4" s="41" customFormat="1">
      <c r="A114" s="3">
        <v>114</v>
      </c>
      <c r="B114" s="40"/>
      <c r="C114" s="40" t="s">
        <v>106</v>
      </c>
    </row>
    <row r="115" spans="1:4" s="41" customFormat="1">
      <c r="A115" s="3">
        <v>115</v>
      </c>
      <c r="B115" s="40"/>
      <c r="C115" s="40" t="s">
        <v>104</v>
      </c>
    </row>
    <row r="116" spans="1:4" s="41" customFormat="1">
      <c r="A116" s="3">
        <v>116</v>
      </c>
      <c r="B116" s="40"/>
      <c r="C116" s="40" t="s">
        <v>103</v>
      </c>
    </row>
    <row r="117" spans="1:4" s="41" customFormat="1">
      <c r="A117" s="3">
        <v>117</v>
      </c>
      <c r="B117" s="40"/>
      <c r="C117" s="40" t="s">
        <v>107</v>
      </c>
    </row>
    <row r="118" spans="1:4" s="41" customFormat="1">
      <c r="A118" s="3">
        <v>118</v>
      </c>
      <c r="B118" s="40"/>
      <c r="C118" s="40" t="s">
        <v>112</v>
      </c>
    </row>
    <row r="119" spans="1:4" s="41" customFormat="1">
      <c r="A119" s="3">
        <v>119</v>
      </c>
      <c r="B119" s="40"/>
      <c r="C119" s="40" t="s">
        <v>70</v>
      </c>
    </row>
    <row r="120" spans="1:4" s="41" customFormat="1" ht="13.5" thickBot="1">
      <c r="A120" s="3">
        <v>120</v>
      </c>
      <c r="B120" s="42"/>
      <c r="C120" s="42" t="s">
        <v>27</v>
      </c>
    </row>
    <row r="121" spans="1:4" s="41" customFormat="1">
      <c r="A121" s="3">
        <v>121</v>
      </c>
      <c r="B121" s="40"/>
      <c r="C121" s="43" t="s">
        <v>101</v>
      </c>
      <c r="D121" s="41" t="s">
        <v>100</v>
      </c>
    </row>
    <row r="122" spans="1:4" s="41" customFormat="1">
      <c r="A122" s="3">
        <v>122</v>
      </c>
      <c r="B122" s="40"/>
      <c r="C122" s="40" t="s">
        <v>102</v>
      </c>
      <c r="D122" s="41">
        <v>11</v>
      </c>
    </row>
    <row r="123" spans="1:4" s="41" customFormat="1">
      <c r="A123" s="3">
        <v>123</v>
      </c>
      <c r="B123" s="40"/>
      <c r="C123" s="40" t="s">
        <v>105</v>
      </c>
    </row>
    <row r="124" spans="1:4" s="41" customFormat="1">
      <c r="A124" s="3">
        <v>124</v>
      </c>
      <c r="B124" s="40"/>
      <c r="C124" s="40" t="s">
        <v>106</v>
      </c>
    </row>
    <row r="125" spans="1:4" s="41" customFormat="1">
      <c r="A125" s="3">
        <v>125</v>
      </c>
      <c r="B125" s="40"/>
      <c r="C125" s="40" t="s">
        <v>104</v>
      </c>
    </row>
    <row r="126" spans="1:4" s="41" customFormat="1">
      <c r="A126" s="3">
        <v>126</v>
      </c>
      <c r="B126" s="40"/>
      <c r="C126" s="40" t="s">
        <v>103</v>
      </c>
    </row>
    <row r="127" spans="1:4" s="41" customFormat="1">
      <c r="A127" s="3">
        <v>127</v>
      </c>
      <c r="B127" s="40"/>
      <c r="C127" s="40" t="s">
        <v>107</v>
      </c>
    </row>
    <row r="128" spans="1:4" s="41" customFormat="1">
      <c r="A128" s="3">
        <v>128</v>
      </c>
      <c r="B128" s="40"/>
      <c r="C128" s="40" t="s">
        <v>112</v>
      </c>
    </row>
    <row r="129" spans="1:4" s="41" customFormat="1">
      <c r="A129" s="3">
        <v>129</v>
      </c>
      <c r="B129" s="40"/>
      <c r="C129" s="40" t="s">
        <v>70</v>
      </c>
    </row>
    <row r="130" spans="1:4" s="41" customFormat="1" ht="13.5" thickBot="1">
      <c r="A130" s="3">
        <v>130</v>
      </c>
      <c r="B130" s="42"/>
      <c r="C130" s="42" t="s">
        <v>27</v>
      </c>
    </row>
    <row r="131" spans="1:4" s="41" customFormat="1">
      <c r="A131" s="3">
        <v>131</v>
      </c>
      <c r="B131" s="40"/>
      <c r="C131" s="43" t="s">
        <v>101</v>
      </c>
      <c r="D131" s="41" t="s">
        <v>100</v>
      </c>
    </row>
    <row r="132" spans="1:4" s="41" customFormat="1">
      <c r="A132" s="3">
        <v>132</v>
      </c>
      <c r="B132" s="40"/>
      <c r="C132" s="40" t="s">
        <v>102</v>
      </c>
      <c r="D132" s="41">
        <v>12</v>
      </c>
    </row>
    <row r="133" spans="1:4" s="41" customFormat="1">
      <c r="A133" s="3">
        <v>133</v>
      </c>
      <c r="B133" s="40"/>
      <c r="C133" s="40" t="s">
        <v>105</v>
      </c>
    </row>
    <row r="134" spans="1:4" s="41" customFormat="1">
      <c r="A134" s="3">
        <v>134</v>
      </c>
      <c r="B134" s="40"/>
      <c r="C134" s="40" t="s">
        <v>106</v>
      </c>
    </row>
    <row r="135" spans="1:4" s="41" customFormat="1">
      <c r="A135" s="3">
        <v>135</v>
      </c>
      <c r="B135" s="40"/>
      <c r="C135" s="40" t="s">
        <v>104</v>
      </c>
    </row>
    <row r="136" spans="1:4" s="41" customFormat="1">
      <c r="A136" s="3">
        <v>136</v>
      </c>
      <c r="B136" s="40"/>
      <c r="C136" s="40" t="s">
        <v>103</v>
      </c>
    </row>
    <row r="137" spans="1:4" s="41" customFormat="1">
      <c r="A137" s="3">
        <v>137</v>
      </c>
      <c r="B137" s="40"/>
      <c r="C137" s="40" t="s">
        <v>107</v>
      </c>
    </row>
    <row r="138" spans="1:4" s="41" customFormat="1">
      <c r="A138" s="3">
        <v>138</v>
      </c>
      <c r="B138" s="40"/>
      <c r="C138" s="40" t="s">
        <v>112</v>
      </c>
    </row>
    <row r="139" spans="1:4" s="41" customFormat="1">
      <c r="A139" s="3">
        <v>139</v>
      </c>
      <c r="B139" s="40"/>
      <c r="C139" s="40" t="s">
        <v>70</v>
      </c>
    </row>
    <row r="140" spans="1:4" s="41" customFormat="1" ht="13.5" thickBot="1">
      <c r="A140" s="3">
        <v>140</v>
      </c>
      <c r="B140" s="42"/>
      <c r="C140" s="42" t="s">
        <v>27</v>
      </c>
    </row>
    <row r="141" spans="1:4" s="41" customFormat="1">
      <c r="A141" s="3">
        <v>141</v>
      </c>
      <c r="B141" s="40"/>
      <c r="C141" s="43" t="s">
        <v>101</v>
      </c>
      <c r="D141" s="41" t="s">
        <v>100</v>
      </c>
    </row>
    <row r="142" spans="1:4" s="41" customFormat="1">
      <c r="A142" s="3">
        <v>142</v>
      </c>
      <c r="B142" s="40"/>
      <c r="C142" s="40" t="s">
        <v>102</v>
      </c>
      <c r="D142" s="41">
        <v>13</v>
      </c>
    </row>
    <row r="143" spans="1:4" s="41" customFormat="1">
      <c r="A143" s="3">
        <v>143</v>
      </c>
      <c r="B143" s="40"/>
      <c r="C143" s="40" t="s">
        <v>105</v>
      </c>
    </row>
    <row r="144" spans="1:4" s="41" customFormat="1">
      <c r="A144" s="3">
        <v>144</v>
      </c>
      <c r="B144" s="40"/>
      <c r="C144" s="40" t="s">
        <v>106</v>
      </c>
    </row>
    <row r="145" spans="1:4" s="41" customFormat="1">
      <c r="A145" s="3">
        <v>145</v>
      </c>
      <c r="B145" s="40"/>
      <c r="C145" s="40" t="s">
        <v>104</v>
      </c>
    </row>
    <row r="146" spans="1:4" s="41" customFormat="1">
      <c r="A146" s="3">
        <v>146</v>
      </c>
      <c r="B146" s="40"/>
      <c r="C146" s="40" t="s">
        <v>103</v>
      </c>
    </row>
    <row r="147" spans="1:4" s="41" customFormat="1">
      <c r="A147" s="3">
        <v>147</v>
      </c>
      <c r="B147" s="40"/>
      <c r="C147" s="40" t="s">
        <v>107</v>
      </c>
    </row>
    <row r="148" spans="1:4" s="41" customFormat="1">
      <c r="A148" s="3">
        <v>148</v>
      </c>
      <c r="B148" s="40"/>
      <c r="C148" s="40" t="s">
        <v>112</v>
      </c>
    </row>
    <row r="149" spans="1:4" s="41" customFormat="1">
      <c r="A149" s="3">
        <v>149</v>
      </c>
      <c r="B149" s="40"/>
      <c r="C149" s="40" t="s">
        <v>70</v>
      </c>
    </row>
    <row r="150" spans="1:4" s="41" customFormat="1" ht="13.5" thickBot="1">
      <c r="A150" s="3">
        <v>150</v>
      </c>
      <c r="B150" s="42"/>
      <c r="C150" s="42" t="s">
        <v>27</v>
      </c>
    </row>
    <row r="151" spans="1:4" s="41" customFormat="1">
      <c r="A151" s="3">
        <v>151</v>
      </c>
      <c r="B151" s="40"/>
      <c r="C151" s="43" t="s">
        <v>101</v>
      </c>
      <c r="D151" s="41" t="s">
        <v>100</v>
      </c>
    </row>
    <row r="152" spans="1:4" s="41" customFormat="1">
      <c r="A152" s="3">
        <v>152</v>
      </c>
      <c r="B152" s="40"/>
      <c r="C152" s="40" t="s">
        <v>102</v>
      </c>
      <c r="D152" s="41">
        <v>14</v>
      </c>
    </row>
    <row r="153" spans="1:4" s="41" customFormat="1">
      <c r="A153" s="3">
        <v>153</v>
      </c>
      <c r="B153" s="40"/>
      <c r="C153" s="40" t="s">
        <v>105</v>
      </c>
    </row>
    <row r="154" spans="1:4" s="41" customFormat="1">
      <c r="A154" s="3">
        <v>154</v>
      </c>
      <c r="B154" s="40"/>
      <c r="C154" s="40" t="s">
        <v>106</v>
      </c>
    </row>
    <row r="155" spans="1:4" s="41" customFormat="1">
      <c r="A155" s="3">
        <v>155</v>
      </c>
      <c r="B155" s="40"/>
      <c r="C155" s="40" t="s">
        <v>104</v>
      </c>
    </row>
    <row r="156" spans="1:4" s="41" customFormat="1">
      <c r="A156" s="3">
        <v>156</v>
      </c>
      <c r="B156" s="40"/>
      <c r="C156" s="40" t="s">
        <v>103</v>
      </c>
    </row>
    <row r="157" spans="1:4" s="41" customFormat="1">
      <c r="A157" s="3">
        <v>157</v>
      </c>
      <c r="B157" s="40"/>
      <c r="C157" s="40" t="s">
        <v>107</v>
      </c>
    </row>
    <row r="158" spans="1:4" s="41" customFormat="1">
      <c r="A158" s="3">
        <v>158</v>
      </c>
      <c r="B158" s="40"/>
      <c r="C158" s="40" t="s">
        <v>112</v>
      </c>
    </row>
    <row r="159" spans="1:4" s="41" customFormat="1">
      <c r="A159" s="3">
        <v>159</v>
      </c>
      <c r="B159" s="40"/>
      <c r="C159" s="40" t="s">
        <v>70</v>
      </c>
    </row>
    <row r="160" spans="1:4" s="41" customFormat="1" ht="13.5" thickBot="1">
      <c r="A160" s="3">
        <v>160</v>
      </c>
      <c r="B160" s="42"/>
      <c r="C160" s="42" t="s">
        <v>27</v>
      </c>
    </row>
    <row r="161" spans="1:4" s="41" customFormat="1">
      <c r="A161" s="3">
        <v>161</v>
      </c>
      <c r="B161" s="40"/>
      <c r="C161" s="43" t="s">
        <v>101</v>
      </c>
      <c r="D161" s="41" t="s">
        <v>100</v>
      </c>
    </row>
    <row r="162" spans="1:4" s="41" customFormat="1">
      <c r="A162" s="3">
        <v>162</v>
      </c>
      <c r="B162" s="40"/>
      <c r="C162" s="40" t="s">
        <v>102</v>
      </c>
      <c r="D162" s="41">
        <v>15</v>
      </c>
    </row>
    <row r="163" spans="1:4" s="41" customFormat="1">
      <c r="A163" s="3">
        <v>163</v>
      </c>
      <c r="B163" s="40"/>
      <c r="C163" s="40" t="s">
        <v>105</v>
      </c>
    </row>
    <row r="164" spans="1:4" s="41" customFormat="1">
      <c r="A164" s="3">
        <v>164</v>
      </c>
      <c r="B164" s="40"/>
      <c r="C164" s="40" t="s">
        <v>106</v>
      </c>
    </row>
    <row r="165" spans="1:4" s="41" customFormat="1">
      <c r="A165" s="3">
        <v>165</v>
      </c>
      <c r="B165" s="40"/>
      <c r="C165" s="40" t="s">
        <v>104</v>
      </c>
    </row>
    <row r="166" spans="1:4" s="41" customFormat="1">
      <c r="A166" s="3">
        <v>166</v>
      </c>
      <c r="B166" s="40"/>
      <c r="C166" s="40" t="s">
        <v>103</v>
      </c>
    </row>
    <row r="167" spans="1:4" s="41" customFormat="1">
      <c r="A167" s="3">
        <v>167</v>
      </c>
      <c r="B167" s="40"/>
      <c r="C167" s="40" t="s">
        <v>107</v>
      </c>
    </row>
    <row r="168" spans="1:4" s="41" customFormat="1">
      <c r="A168" s="3">
        <v>168</v>
      </c>
      <c r="B168" s="40"/>
      <c r="C168" s="40" t="s">
        <v>112</v>
      </c>
    </row>
    <row r="169" spans="1:4" s="41" customFormat="1">
      <c r="A169" s="3">
        <v>169</v>
      </c>
      <c r="B169" s="40"/>
      <c r="C169" s="40" t="s">
        <v>70</v>
      </c>
    </row>
    <row r="170" spans="1:4" s="41" customFormat="1" ht="13.5" thickBot="1">
      <c r="A170" s="3">
        <v>170</v>
      </c>
      <c r="B170" s="42"/>
      <c r="C170" s="42" t="s">
        <v>27</v>
      </c>
    </row>
    <row r="171" spans="1:4" s="60" customFormat="1">
      <c r="A171" s="58">
        <v>171</v>
      </c>
      <c r="B171" s="58"/>
      <c r="C171" s="59" t="s">
        <v>101</v>
      </c>
      <c r="D171" s="60" t="s">
        <v>317</v>
      </c>
    </row>
    <row r="172" spans="1:4" s="60" customFormat="1">
      <c r="A172" s="58">
        <v>172</v>
      </c>
      <c r="B172" s="58"/>
      <c r="C172" s="58" t="s">
        <v>102</v>
      </c>
      <c r="D172" s="60">
        <v>1</v>
      </c>
    </row>
    <row r="173" spans="1:4" s="60" customFormat="1">
      <c r="A173" s="58">
        <v>173</v>
      </c>
      <c r="B173" s="58"/>
      <c r="C173" s="58" t="s">
        <v>105</v>
      </c>
    </row>
    <row r="174" spans="1:4" s="60" customFormat="1">
      <c r="A174" s="58">
        <v>174</v>
      </c>
      <c r="B174" s="58"/>
      <c r="C174" s="58" t="s">
        <v>106</v>
      </c>
    </row>
    <row r="175" spans="1:4" s="60" customFormat="1">
      <c r="A175" s="58">
        <v>175</v>
      </c>
      <c r="B175" s="58"/>
      <c r="C175" s="58" t="s">
        <v>104</v>
      </c>
    </row>
    <row r="176" spans="1:4" s="60" customFormat="1">
      <c r="A176" s="58">
        <v>176</v>
      </c>
      <c r="B176" s="58"/>
      <c r="C176" s="58" t="s">
        <v>103</v>
      </c>
    </row>
    <row r="177" spans="1:4" s="60" customFormat="1">
      <c r="A177" s="58">
        <v>177</v>
      </c>
      <c r="B177" s="58"/>
      <c r="C177" s="58" t="s">
        <v>107</v>
      </c>
    </row>
    <row r="178" spans="1:4" s="60" customFormat="1">
      <c r="A178" s="58">
        <v>178</v>
      </c>
      <c r="B178" s="58"/>
      <c r="C178" s="58" t="s">
        <v>112</v>
      </c>
    </row>
    <row r="179" spans="1:4" s="60" customFormat="1">
      <c r="A179" s="58">
        <v>179</v>
      </c>
      <c r="B179" s="58"/>
      <c r="C179" s="58" t="s">
        <v>70</v>
      </c>
    </row>
    <row r="180" spans="1:4" s="60" customFormat="1" ht="13.5" thickBot="1">
      <c r="A180" s="58">
        <v>180</v>
      </c>
      <c r="B180" s="61"/>
      <c r="C180" s="61" t="s">
        <v>27</v>
      </c>
    </row>
    <row r="181" spans="1:4" s="60" customFormat="1">
      <c r="A181" s="58">
        <v>181</v>
      </c>
      <c r="B181" s="58"/>
      <c r="C181" s="59" t="s">
        <v>101</v>
      </c>
      <c r="D181" s="60" t="s">
        <v>317</v>
      </c>
    </row>
    <row r="182" spans="1:4" s="60" customFormat="1">
      <c r="A182" s="58">
        <v>182</v>
      </c>
      <c r="B182" s="58"/>
      <c r="C182" s="58" t="s">
        <v>102</v>
      </c>
      <c r="D182" s="60">
        <v>2</v>
      </c>
    </row>
    <row r="183" spans="1:4" s="60" customFormat="1">
      <c r="A183" s="58">
        <v>183</v>
      </c>
      <c r="B183" s="58"/>
      <c r="C183" s="58" t="s">
        <v>105</v>
      </c>
    </row>
    <row r="184" spans="1:4" s="60" customFormat="1">
      <c r="A184" s="58">
        <v>184</v>
      </c>
      <c r="B184" s="58"/>
      <c r="C184" s="58" t="s">
        <v>106</v>
      </c>
    </row>
    <row r="185" spans="1:4" s="60" customFormat="1">
      <c r="A185" s="58">
        <v>185</v>
      </c>
      <c r="B185" s="58"/>
      <c r="C185" s="58" t="s">
        <v>104</v>
      </c>
    </row>
    <row r="186" spans="1:4" s="60" customFormat="1">
      <c r="A186" s="58">
        <v>186</v>
      </c>
      <c r="B186" s="58"/>
      <c r="C186" s="58" t="s">
        <v>103</v>
      </c>
    </row>
    <row r="187" spans="1:4" s="60" customFormat="1">
      <c r="A187" s="58">
        <v>187</v>
      </c>
      <c r="B187" s="58"/>
      <c r="C187" s="58" t="s">
        <v>107</v>
      </c>
    </row>
    <row r="188" spans="1:4" s="60" customFormat="1">
      <c r="A188" s="58">
        <v>188</v>
      </c>
      <c r="B188" s="58"/>
      <c r="C188" s="58" t="s">
        <v>112</v>
      </c>
    </row>
    <row r="189" spans="1:4" s="60" customFormat="1">
      <c r="A189" s="58">
        <v>189</v>
      </c>
      <c r="B189" s="58"/>
      <c r="C189" s="58" t="s">
        <v>70</v>
      </c>
    </row>
    <row r="190" spans="1:4" s="60" customFormat="1" ht="13.5" thickBot="1">
      <c r="A190" s="58">
        <v>190</v>
      </c>
      <c r="B190" s="61"/>
      <c r="C190" s="61" t="s">
        <v>27</v>
      </c>
    </row>
    <row r="191" spans="1:4" s="60" customFormat="1">
      <c r="A191" s="58">
        <v>191</v>
      </c>
      <c r="B191" s="58"/>
      <c r="C191" s="59" t="s">
        <v>101</v>
      </c>
      <c r="D191" s="60" t="s">
        <v>317</v>
      </c>
    </row>
    <row r="192" spans="1:4" s="60" customFormat="1">
      <c r="A192" s="58">
        <v>192</v>
      </c>
      <c r="B192" s="58"/>
      <c r="C192" s="58" t="s">
        <v>102</v>
      </c>
      <c r="D192" s="60">
        <v>3</v>
      </c>
    </row>
    <row r="193" spans="1:4" s="60" customFormat="1">
      <c r="A193" s="58">
        <v>193</v>
      </c>
      <c r="B193" s="58"/>
      <c r="C193" s="58" t="s">
        <v>105</v>
      </c>
    </row>
    <row r="194" spans="1:4" s="60" customFormat="1">
      <c r="A194" s="58">
        <v>194</v>
      </c>
      <c r="B194" s="58"/>
      <c r="C194" s="58" t="s">
        <v>106</v>
      </c>
    </row>
    <row r="195" spans="1:4" s="60" customFormat="1">
      <c r="A195" s="58">
        <v>195</v>
      </c>
      <c r="B195" s="58"/>
      <c r="C195" s="58" t="s">
        <v>104</v>
      </c>
    </row>
    <row r="196" spans="1:4" s="60" customFormat="1">
      <c r="A196" s="58">
        <v>196</v>
      </c>
      <c r="B196" s="58"/>
      <c r="C196" s="58" t="s">
        <v>103</v>
      </c>
    </row>
    <row r="197" spans="1:4" s="60" customFormat="1">
      <c r="A197" s="58">
        <v>197</v>
      </c>
      <c r="B197" s="58"/>
      <c r="C197" s="58" t="s">
        <v>107</v>
      </c>
    </row>
    <row r="198" spans="1:4" s="60" customFormat="1">
      <c r="A198" s="58">
        <v>198</v>
      </c>
      <c r="B198" s="58"/>
      <c r="C198" s="58" t="s">
        <v>112</v>
      </c>
    </row>
    <row r="199" spans="1:4" s="60" customFormat="1">
      <c r="A199" s="58">
        <v>199</v>
      </c>
      <c r="B199" s="58"/>
      <c r="C199" s="58" t="s">
        <v>70</v>
      </c>
    </row>
    <row r="200" spans="1:4" s="60" customFormat="1" ht="13.5" thickBot="1">
      <c r="A200" s="58">
        <v>200</v>
      </c>
      <c r="B200" s="61"/>
      <c r="C200" s="61" t="s">
        <v>27</v>
      </c>
    </row>
    <row r="201" spans="1:4" s="60" customFormat="1">
      <c r="A201" s="58">
        <v>201</v>
      </c>
      <c r="B201" s="58"/>
      <c r="C201" s="59" t="s">
        <v>101</v>
      </c>
      <c r="D201" s="60" t="s">
        <v>317</v>
      </c>
    </row>
    <row r="202" spans="1:4" s="60" customFormat="1">
      <c r="A202" s="58">
        <v>202</v>
      </c>
      <c r="B202" s="58"/>
      <c r="C202" s="58" t="s">
        <v>102</v>
      </c>
      <c r="D202" s="60">
        <v>4</v>
      </c>
    </row>
    <row r="203" spans="1:4" s="60" customFormat="1">
      <c r="A203" s="58">
        <v>203</v>
      </c>
      <c r="B203" s="58"/>
      <c r="C203" s="58" t="s">
        <v>105</v>
      </c>
    </row>
    <row r="204" spans="1:4" s="60" customFormat="1">
      <c r="A204" s="58">
        <v>204</v>
      </c>
      <c r="B204" s="58"/>
      <c r="C204" s="58" t="s">
        <v>106</v>
      </c>
    </row>
    <row r="205" spans="1:4" s="60" customFormat="1">
      <c r="A205" s="58">
        <v>205</v>
      </c>
      <c r="B205" s="58"/>
      <c r="C205" s="58" t="s">
        <v>104</v>
      </c>
    </row>
    <row r="206" spans="1:4" s="60" customFormat="1">
      <c r="A206" s="58">
        <v>206</v>
      </c>
      <c r="B206" s="58"/>
      <c r="C206" s="58" t="s">
        <v>103</v>
      </c>
    </row>
    <row r="207" spans="1:4" s="60" customFormat="1">
      <c r="A207" s="58">
        <v>207</v>
      </c>
      <c r="B207" s="58"/>
      <c r="C207" s="58" t="s">
        <v>107</v>
      </c>
    </row>
    <row r="208" spans="1:4" s="60" customFormat="1">
      <c r="A208" s="58">
        <v>208</v>
      </c>
      <c r="B208" s="58"/>
      <c r="C208" s="58" t="s">
        <v>112</v>
      </c>
    </row>
    <row r="209" spans="1:5" s="60" customFormat="1">
      <c r="A209" s="58">
        <v>209</v>
      </c>
      <c r="B209" s="58"/>
      <c r="C209" s="58" t="s">
        <v>70</v>
      </c>
    </row>
    <row r="210" spans="1:5" s="60" customFormat="1" ht="13.5" thickBot="1">
      <c r="A210" s="58">
        <v>210</v>
      </c>
      <c r="B210" s="61"/>
      <c r="C210" s="61" t="s">
        <v>27</v>
      </c>
    </row>
    <row r="211" spans="1:5" s="60" customFormat="1">
      <c r="A211" s="58">
        <v>211</v>
      </c>
      <c r="B211" s="58"/>
      <c r="C211" s="59" t="s">
        <v>101</v>
      </c>
      <c r="D211" s="60" t="s">
        <v>317</v>
      </c>
    </row>
    <row r="212" spans="1:5" s="60" customFormat="1">
      <c r="A212" s="58">
        <v>212</v>
      </c>
      <c r="B212" s="58"/>
      <c r="C212" s="58" t="s">
        <v>102</v>
      </c>
      <c r="D212" s="60">
        <v>5</v>
      </c>
    </row>
    <row r="213" spans="1:5" s="60" customFormat="1">
      <c r="A213" s="58">
        <v>213</v>
      </c>
      <c r="B213" s="58"/>
      <c r="C213" s="58" t="s">
        <v>105</v>
      </c>
    </row>
    <row r="214" spans="1:5" s="60" customFormat="1">
      <c r="A214" s="58">
        <v>214</v>
      </c>
      <c r="B214" s="58"/>
      <c r="C214" s="58" t="s">
        <v>106</v>
      </c>
    </row>
    <row r="215" spans="1:5" s="60" customFormat="1">
      <c r="A215" s="58">
        <v>215</v>
      </c>
      <c r="B215" s="58"/>
      <c r="C215" s="58" t="s">
        <v>104</v>
      </c>
    </row>
    <row r="216" spans="1:5" s="60" customFormat="1">
      <c r="A216" s="58">
        <v>216</v>
      </c>
      <c r="B216" s="58"/>
      <c r="C216" s="58" t="s">
        <v>103</v>
      </c>
    </row>
    <row r="217" spans="1:5" s="60" customFormat="1">
      <c r="A217" s="58">
        <v>217</v>
      </c>
      <c r="B217" s="58"/>
      <c r="C217" s="58" t="s">
        <v>107</v>
      </c>
    </row>
    <row r="218" spans="1:5" s="60" customFormat="1">
      <c r="A218" s="58">
        <v>218</v>
      </c>
      <c r="B218" s="58"/>
      <c r="C218" s="58" t="s">
        <v>112</v>
      </c>
    </row>
    <row r="219" spans="1:5" s="60" customFormat="1">
      <c r="A219" s="58">
        <v>219</v>
      </c>
      <c r="B219" s="58"/>
      <c r="C219" s="58" t="s">
        <v>70</v>
      </c>
    </row>
    <row r="220" spans="1:5" s="60" customFormat="1" ht="13.5" thickBot="1">
      <c r="A220" s="58">
        <v>220</v>
      </c>
      <c r="B220" s="61"/>
      <c r="C220" s="61" t="s">
        <v>27</v>
      </c>
    </row>
    <row r="221" spans="1:5" s="45" customFormat="1">
      <c r="A221" s="44">
        <v>221</v>
      </c>
      <c r="B221" s="50"/>
      <c r="C221" s="46" t="s">
        <v>16</v>
      </c>
      <c r="D221" s="45" t="s">
        <v>29</v>
      </c>
    </row>
    <row r="222" spans="1:5" s="45" customFormat="1">
      <c r="A222" s="44">
        <v>222</v>
      </c>
      <c r="B222" s="50"/>
      <c r="C222" s="44" t="s">
        <v>17</v>
      </c>
      <c r="E222" s="50"/>
    </row>
    <row r="223" spans="1:5" s="45" customFormat="1">
      <c r="A223" s="44">
        <v>223</v>
      </c>
      <c r="B223" s="50"/>
      <c r="C223" s="44" t="s">
        <v>18</v>
      </c>
      <c r="E223" s="50"/>
    </row>
    <row r="224" spans="1:5" s="45" customFormat="1">
      <c r="A224" s="44">
        <v>224</v>
      </c>
      <c r="B224" s="50"/>
      <c r="C224" s="44" t="s">
        <v>19</v>
      </c>
      <c r="E224" s="50"/>
    </row>
    <row r="225" spans="1:5" s="45" customFormat="1">
      <c r="A225" s="44">
        <v>225</v>
      </c>
      <c r="B225" s="50"/>
      <c r="C225" s="44" t="s">
        <v>20</v>
      </c>
      <c r="E225" s="50"/>
    </row>
    <row r="226" spans="1:5" s="45" customFormat="1">
      <c r="A226" s="44">
        <v>226</v>
      </c>
      <c r="B226" s="50"/>
      <c r="C226" s="44" t="s">
        <v>21</v>
      </c>
      <c r="E226" s="50"/>
    </row>
    <row r="227" spans="1:5" s="45" customFormat="1">
      <c r="A227" s="44">
        <v>227</v>
      </c>
      <c r="B227" s="50"/>
      <c r="C227" s="44" t="s">
        <v>22</v>
      </c>
      <c r="E227" s="50"/>
    </row>
    <row r="228" spans="1:5" s="45" customFormat="1">
      <c r="A228" s="44">
        <v>228</v>
      </c>
      <c r="B228" s="50"/>
      <c r="C228" s="44" t="s">
        <v>23</v>
      </c>
      <c r="E228" s="50"/>
    </row>
    <row r="229" spans="1:5" s="45" customFormat="1">
      <c r="A229" s="44">
        <v>229</v>
      </c>
      <c r="B229" s="50"/>
      <c r="C229" s="44" t="s">
        <v>24</v>
      </c>
      <c r="E229" s="50"/>
    </row>
    <row r="230" spans="1:5" s="45" customFormat="1">
      <c r="A230" s="44">
        <v>230</v>
      </c>
      <c r="B230" s="50"/>
      <c r="C230" s="44" t="s">
        <v>25</v>
      </c>
      <c r="E230" s="50"/>
    </row>
    <row r="231" spans="1:5" s="45" customFormat="1">
      <c r="A231" s="44">
        <v>231</v>
      </c>
      <c r="B231" s="50"/>
      <c r="C231" s="44" t="s">
        <v>39</v>
      </c>
      <c r="E231" s="50"/>
    </row>
    <row r="232" spans="1:5" s="45" customFormat="1">
      <c r="A232" s="44">
        <v>232</v>
      </c>
      <c r="B232" s="50"/>
      <c r="C232" s="44" t="s">
        <v>40</v>
      </c>
    </row>
    <row r="233" spans="1:5" s="45" customFormat="1">
      <c r="A233" s="44">
        <v>233</v>
      </c>
      <c r="B233" s="50"/>
      <c r="C233" s="44" t="s">
        <v>315</v>
      </c>
    </row>
    <row r="234" spans="1:5" s="45" customFormat="1">
      <c r="A234" s="44">
        <v>234</v>
      </c>
      <c r="B234" s="50"/>
      <c r="C234" s="44" t="s">
        <v>8</v>
      </c>
    </row>
    <row r="235" spans="1:5" s="45" customFormat="1" ht="13.5" thickBot="1">
      <c r="A235" s="44">
        <v>235</v>
      </c>
      <c r="B235" s="50"/>
      <c r="C235" s="56" t="s">
        <v>8</v>
      </c>
    </row>
    <row r="236" spans="1:5" s="45" customFormat="1">
      <c r="A236" s="44">
        <v>236</v>
      </c>
      <c r="B236" s="51"/>
      <c r="C236" s="46" t="s">
        <v>16</v>
      </c>
      <c r="D236" s="45" t="s">
        <v>30</v>
      </c>
    </row>
    <row r="237" spans="1:5" s="45" customFormat="1">
      <c r="A237" s="44">
        <v>237</v>
      </c>
      <c r="B237" s="50"/>
      <c r="C237" s="44" t="s">
        <v>17</v>
      </c>
    </row>
    <row r="238" spans="1:5" s="45" customFormat="1">
      <c r="A238" s="44">
        <v>238</v>
      </c>
      <c r="B238" s="50"/>
      <c r="C238" s="44" t="s">
        <v>18</v>
      </c>
    </row>
    <row r="239" spans="1:5" s="45" customFormat="1">
      <c r="A239" s="44">
        <v>239</v>
      </c>
      <c r="B239" s="50"/>
      <c r="C239" s="44" t="s">
        <v>19</v>
      </c>
    </row>
    <row r="240" spans="1:5" s="45" customFormat="1">
      <c r="A240" s="44">
        <v>240</v>
      </c>
      <c r="B240" s="50"/>
      <c r="C240" s="44" t="s">
        <v>20</v>
      </c>
    </row>
    <row r="241" spans="1:4" s="45" customFormat="1">
      <c r="A241" s="44">
        <v>241</v>
      </c>
      <c r="B241" s="50"/>
      <c r="C241" s="44" t="s">
        <v>21</v>
      </c>
    </row>
    <row r="242" spans="1:4" s="45" customFormat="1">
      <c r="A242" s="44">
        <v>242</v>
      </c>
      <c r="B242" s="50"/>
      <c r="C242" s="44" t="s">
        <v>22</v>
      </c>
    </row>
    <row r="243" spans="1:4" s="45" customFormat="1">
      <c r="A243" s="44">
        <v>243</v>
      </c>
      <c r="B243" s="50"/>
      <c r="C243" s="44" t="s">
        <v>23</v>
      </c>
    </row>
    <row r="244" spans="1:4" s="45" customFormat="1">
      <c r="A244" s="44">
        <v>244</v>
      </c>
      <c r="B244" s="50"/>
      <c r="C244" s="44" t="s">
        <v>24</v>
      </c>
    </row>
    <row r="245" spans="1:4" s="45" customFormat="1">
      <c r="A245" s="44">
        <v>245</v>
      </c>
      <c r="B245" s="50"/>
      <c r="C245" s="44" t="s">
        <v>25</v>
      </c>
    </row>
    <row r="246" spans="1:4" s="45" customFormat="1">
      <c r="A246" s="44">
        <v>246</v>
      </c>
      <c r="B246" s="50"/>
      <c r="C246" s="44" t="s">
        <v>39</v>
      </c>
    </row>
    <row r="247" spans="1:4" s="45" customFormat="1">
      <c r="A247" s="44">
        <v>247</v>
      </c>
      <c r="B247" s="50"/>
      <c r="C247" s="44" t="s">
        <v>40</v>
      </c>
    </row>
    <row r="248" spans="1:4" s="45" customFormat="1">
      <c r="A248" s="44">
        <v>248</v>
      </c>
      <c r="B248" s="50"/>
      <c r="C248" s="44" t="s">
        <v>315</v>
      </c>
    </row>
    <row r="249" spans="1:4" s="45" customFormat="1">
      <c r="A249" s="44">
        <v>249</v>
      </c>
      <c r="B249" s="50"/>
      <c r="C249" s="44" t="s">
        <v>8</v>
      </c>
    </row>
    <row r="250" spans="1:4" s="45" customFormat="1" ht="13.5" thickBot="1">
      <c r="A250" s="44">
        <v>250</v>
      </c>
      <c r="B250" s="50"/>
      <c r="C250" s="56" t="s">
        <v>8</v>
      </c>
    </row>
    <row r="251" spans="1:4" s="45" customFormat="1">
      <c r="A251" s="44">
        <v>251</v>
      </c>
      <c r="B251" s="51"/>
      <c r="C251" s="46" t="s">
        <v>16</v>
      </c>
      <c r="D251" s="45" t="s">
        <v>31</v>
      </c>
    </row>
    <row r="252" spans="1:4" s="45" customFormat="1">
      <c r="A252" s="44">
        <v>252</v>
      </c>
      <c r="B252" s="50"/>
      <c r="C252" s="44" t="s">
        <v>17</v>
      </c>
    </row>
    <row r="253" spans="1:4" s="45" customFormat="1">
      <c r="A253" s="44">
        <v>253</v>
      </c>
      <c r="B253" s="50"/>
      <c r="C253" s="44" t="s">
        <v>18</v>
      </c>
    </row>
    <row r="254" spans="1:4" s="45" customFormat="1">
      <c r="A254" s="44">
        <v>254</v>
      </c>
      <c r="B254" s="50"/>
      <c r="C254" s="44" t="s">
        <v>19</v>
      </c>
    </row>
    <row r="255" spans="1:4" s="45" customFormat="1">
      <c r="A255" s="44">
        <v>255</v>
      </c>
      <c r="B255" s="50"/>
      <c r="C255" s="44" t="s">
        <v>20</v>
      </c>
    </row>
    <row r="256" spans="1:4" s="45" customFormat="1">
      <c r="A256" s="44">
        <v>256</v>
      </c>
      <c r="B256" s="50"/>
      <c r="C256" s="44" t="s">
        <v>21</v>
      </c>
    </row>
    <row r="257" spans="1:4" s="45" customFormat="1">
      <c r="A257" s="44">
        <v>257</v>
      </c>
      <c r="B257" s="50"/>
      <c r="C257" s="44" t="s">
        <v>22</v>
      </c>
    </row>
    <row r="258" spans="1:4" s="45" customFormat="1">
      <c r="A258" s="44">
        <v>258</v>
      </c>
      <c r="B258" s="50"/>
      <c r="C258" s="44" t="s">
        <v>23</v>
      </c>
    </row>
    <row r="259" spans="1:4" s="45" customFormat="1">
      <c r="A259" s="44">
        <v>259</v>
      </c>
      <c r="B259" s="50"/>
      <c r="C259" s="44" t="s">
        <v>24</v>
      </c>
    </row>
    <row r="260" spans="1:4" s="45" customFormat="1">
      <c r="A260" s="44">
        <v>260</v>
      </c>
      <c r="B260" s="50"/>
      <c r="C260" s="44" t="s">
        <v>25</v>
      </c>
    </row>
    <row r="261" spans="1:4" s="45" customFormat="1">
      <c r="A261" s="44">
        <v>261</v>
      </c>
      <c r="B261" s="50"/>
      <c r="C261" s="44" t="s">
        <v>39</v>
      </c>
    </row>
    <row r="262" spans="1:4" s="45" customFormat="1">
      <c r="A262" s="44">
        <v>262</v>
      </c>
      <c r="B262" s="50"/>
      <c r="C262" s="44" t="s">
        <v>40</v>
      </c>
    </row>
    <row r="263" spans="1:4" s="45" customFormat="1">
      <c r="A263" s="44">
        <v>263</v>
      </c>
      <c r="B263" s="50"/>
      <c r="C263" s="44" t="s">
        <v>315</v>
      </c>
    </row>
    <row r="264" spans="1:4" s="45" customFormat="1">
      <c r="A264" s="44">
        <v>264</v>
      </c>
      <c r="B264" s="50"/>
      <c r="C264" s="44" t="s">
        <v>8</v>
      </c>
    </row>
    <row r="265" spans="1:4" s="45" customFormat="1" ht="13.5" thickBot="1">
      <c r="A265" s="44">
        <v>265</v>
      </c>
      <c r="B265" s="50"/>
      <c r="C265" s="56" t="s">
        <v>8</v>
      </c>
    </row>
    <row r="266" spans="1:4" s="45" customFormat="1">
      <c r="A266" s="44">
        <v>266</v>
      </c>
      <c r="B266" s="51"/>
      <c r="C266" s="46" t="s">
        <v>16</v>
      </c>
      <c r="D266" s="45" t="s">
        <v>32</v>
      </c>
    </row>
    <row r="267" spans="1:4" s="45" customFormat="1">
      <c r="A267" s="44">
        <v>267</v>
      </c>
      <c r="B267" s="50"/>
      <c r="C267" s="44" t="s">
        <v>17</v>
      </c>
    </row>
    <row r="268" spans="1:4" s="45" customFormat="1">
      <c r="A268" s="44">
        <v>268</v>
      </c>
      <c r="B268" s="50"/>
      <c r="C268" s="44" t="s">
        <v>18</v>
      </c>
    </row>
    <row r="269" spans="1:4" s="45" customFormat="1">
      <c r="A269" s="44">
        <v>269</v>
      </c>
      <c r="B269" s="50"/>
      <c r="C269" s="44" t="s">
        <v>19</v>
      </c>
    </row>
    <row r="270" spans="1:4" s="45" customFormat="1">
      <c r="A270" s="44">
        <v>270</v>
      </c>
      <c r="B270" s="50"/>
      <c r="C270" s="44" t="s">
        <v>20</v>
      </c>
    </row>
    <row r="271" spans="1:4" s="45" customFormat="1">
      <c r="A271" s="44">
        <v>271</v>
      </c>
      <c r="B271" s="50"/>
      <c r="C271" s="44" t="s">
        <v>21</v>
      </c>
    </row>
    <row r="272" spans="1:4" s="45" customFormat="1">
      <c r="A272" s="44">
        <v>272</v>
      </c>
      <c r="B272" s="50"/>
      <c r="C272" s="44" t="s">
        <v>22</v>
      </c>
    </row>
    <row r="273" spans="1:4" s="45" customFormat="1">
      <c r="A273" s="44">
        <v>273</v>
      </c>
      <c r="B273" s="50"/>
      <c r="C273" s="44" t="s">
        <v>23</v>
      </c>
    </row>
    <row r="274" spans="1:4" s="45" customFormat="1">
      <c r="A274" s="44">
        <v>274</v>
      </c>
      <c r="B274" s="50"/>
      <c r="C274" s="44" t="s">
        <v>24</v>
      </c>
    </row>
    <row r="275" spans="1:4" s="45" customFormat="1">
      <c r="A275" s="44">
        <v>275</v>
      </c>
      <c r="B275" s="50"/>
      <c r="C275" s="44" t="s">
        <v>25</v>
      </c>
    </row>
    <row r="276" spans="1:4" s="45" customFormat="1">
      <c r="A276" s="44">
        <v>276</v>
      </c>
      <c r="B276" s="50"/>
      <c r="C276" s="44" t="s">
        <v>39</v>
      </c>
    </row>
    <row r="277" spans="1:4" s="45" customFormat="1">
      <c r="A277" s="44">
        <v>277</v>
      </c>
      <c r="B277" s="50"/>
      <c r="C277" s="44" t="s">
        <v>40</v>
      </c>
    </row>
    <row r="278" spans="1:4" s="45" customFormat="1">
      <c r="A278" s="44">
        <v>278</v>
      </c>
      <c r="B278" s="50"/>
      <c r="C278" s="44" t="s">
        <v>315</v>
      </c>
    </row>
    <row r="279" spans="1:4" s="45" customFormat="1">
      <c r="A279" s="44">
        <v>279</v>
      </c>
      <c r="B279" s="50"/>
      <c r="C279" s="44" t="s">
        <v>8</v>
      </c>
    </row>
    <row r="280" spans="1:4" s="45" customFormat="1" ht="13.5" thickBot="1">
      <c r="A280" s="44">
        <v>280</v>
      </c>
      <c r="B280" s="50"/>
      <c r="C280" s="56" t="s">
        <v>8</v>
      </c>
    </row>
    <row r="281" spans="1:4" s="45" customFormat="1">
      <c r="A281" s="44">
        <v>281</v>
      </c>
      <c r="B281" s="51"/>
      <c r="C281" s="46" t="s">
        <v>16</v>
      </c>
      <c r="D281" s="45" t="s">
        <v>33</v>
      </c>
    </row>
    <row r="282" spans="1:4" s="45" customFormat="1">
      <c r="A282" s="44">
        <v>282</v>
      </c>
      <c r="B282" s="50"/>
      <c r="C282" s="44" t="s">
        <v>17</v>
      </c>
    </row>
    <row r="283" spans="1:4" s="45" customFormat="1">
      <c r="A283" s="44">
        <v>283</v>
      </c>
      <c r="B283" s="50"/>
      <c r="C283" s="44" t="s">
        <v>18</v>
      </c>
    </row>
    <row r="284" spans="1:4" s="45" customFormat="1">
      <c r="A284" s="44">
        <v>284</v>
      </c>
      <c r="B284" s="50"/>
      <c r="C284" s="44" t="s">
        <v>19</v>
      </c>
    </row>
    <row r="285" spans="1:4" s="45" customFormat="1">
      <c r="A285" s="44">
        <v>285</v>
      </c>
      <c r="B285" s="50"/>
      <c r="C285" s="44" t="s">
        <v>20</v>
      </c>
    </row>
    <row r="286" spans="1:4" s="45" customFormat="1">
      <c r="A286" s="44">
        <v>286</v>
      </c>
      <c r="B286" s="50"/>
      <c r="C286" s="44" t="s">
        <v>21</v>
      </c>
    </row>
    <row r="287" spans="1:4" s="45" customFormat="1">
      <c r="A287" s="44">
        <v>287</v>
      </c>
      <c r="B287" s="50"/>
      <c r="C287" s="44" t="s">
        <v>22</v>
      </c>
    </row>
    <row r="288" spans="1:4" s="45" customFormat="1">
      <c r="A288" s="44">
        <v>288</v>
      </c>
      <c r="B288" s="50"/>
      <c r="C288" s="44" t="s">
        <v>23</v>
      </c>
    </row>
    <row r="289" spans="1:4" s="45" customFormat="1">
      <c r="A289" s="44">
        <v>289</v>
      </c>
      <c r="B289" s="50"/>
      <c r="C289" s="44" t="s">
        <v>24</v>
      </c>
    </row>
    <row r="290" spans="1:4" s="45" customFormat="1">
      <c r="A290" s="44">
        <v>290</v>
      </c>
      <c r="B290" s="50"/>
      <c r="C290" s="44" t="s">
        <v>25</v>
      </c>
    </row>
    <row r="291" spans="1:4" s="45" customFormat="1">
      <c r="A291" s="44">
        <v>291</v>
      </c>
      <c r="B291" s="50"/>
      <c r="C291" s="44" t="s">
        <v>39</v>
      </c>
    </row>
    <row r="292" spans="1:4" s="45" customFormat="1">
      <c r="A292" s="44">
        <v>292</v>
      </c>
      <c r="B292" s="50"/>
      <c r="C292" s="44" t="s">
        <v>40</v>
      </c>
    </row>
    <row r="293" spans="1:4" s="45" customFormat="1">
      <c r="A293" s="44">
        <v>293</v>
      </c>
      <c r="B293" s="50"/>
      <c r="C293" s="44" t="s">
        <v>315</v>
      </c>
    </row>
    <row r="294" spans="1:4" s="45" customFormat="1">
      <c r="A294" s="44">
        <v>294</v>
      </c>
      <c r="B294" s="50"/>
      <c r="C294" s="44" t="s">
        <v>8</v>
      </c>
    </row>
    <row r="295" spans="1:4" s="45" customFormat="1" ht="13.5" thickBot="1">
      <c r="A295" s="44">
        <v>295</v>
      </c>
      <c r="B295" s="50"/>
      <c r="C295" s="56" t="s">
        <v>8</v>
      </c>
    </row>
    <row r="296" spans="1:4" s="45" customFormat="1">
      <c r="A296" s="44">
        <v>296</v>
      </c>
      <c r="B296" s="51"/>
      <c r="C296" s="46" t="s">
        <v>16</v>
      </c>
      <c r="D296" s="45" t="s">
        <v>34</v>
      </c>
    </row>
    <row r="297" spans="1:4" s="45" customFormat="1">
      <c r="A297" s="44">
        <v>297</v>
      </c>
      <c r="B297" s="50"/>
      <c r="C297" s="44" t="s">
        <v>17</v>
      </c>
    </row>
    <row r="298" spans="1:4" s="45" customFormat="1">
      <c r="A298" s="44">
        <v>298</v>
      </c>
      <c r="B298" s="50"/>
      <c r="C298" s="44" t="s">
        <v>18</v>
      </c>
    </row>
    <row r="299" spans="1:4" s="45" customFormat="1">
      <c r="A299" s="44">
        <v>299</v>
      </c>
      <c r="B299" s="50"/>
      <c r="C299" s="44" t="s">
        <v>19</v>
      </c>
    </row>
    <row r="300" spans="1:4" s="45" customFormat="1">
      <c r="A300" s="44">
        <v>300</v>
      </c>
      <c r="B300" s="50"/>
      <c r="C300" s="44" t="s">
        <v>20</v>
      </c>
    </row>
    <row r="301" spans="1:4" s="45" customFormat="1">
      <c r="A301" s="44">
        <v>301</v>
      </c>
      <c r="B301" s="50"/>
      <c r="C301" s="44" t="s">
        <v>21</v>
      </c>
    </row>
    <row r="302" spans="1:4" s="45" customFormat="1">
      <c r="A302" s="44">
        <v>302</v>
      </c>
      <c r="B302" s="50"/>
      <c r="C302" s="44" t="s">
        <v>22</v>
      </c>
    </row>
    <row r="303" spans="1:4" s="45" customFormat="1">
      <c r="A303" s="44">
        <v>303</v>
      </c>
      <c r="B303" s="50"/>
      <c r="C303" s="44" t="s">
        <v>23</v>
      </c>
    </row>
    <row r="304" spans="1:4" s="45" customFormat="1">
      <c r="A304" s="44">
        <v>304</v>
      </c>
      <c r="B304" s="50"/>
      <c r="C304" s="44" t="s">
        <v>24</v>
      </c>
    </row>
    <row r="305" spans="1:4" s="45" customFormat="1">
      <c r="A305" s="44">
        <v>305</v>
      </c>
      <c r="B305" s="50"/>
      <c r="C305" s="44" t="s">
        <v>25</v>
      </c>
    </row>
    <row r="306" spans="1:4" s="45" customFormat="1">
      <c r="A306" s="44">
        <v>306</v>
      </c>
      <c r="B306" s="50"/>
      <c r="C306" s="44" t="s">
        <v>39</v>
      </c>
    </row>
    <row r="307" spans="1:4" s="45" customFormat="1">
      <c r="A307" s="44">
        <v>307</v>
      </c>
      <c r="B307" s="50"/>
      <c r="C307" s="44" t="s">
        <v>40</v>
      </c>
    </row>
    <row r="308" spans="1:4" s="45" customFormat="1">
      <c r="A308" s="44">
        <v>308</v>
      </c>
      <c r="B308" s="50"/>
      <c r="C308" s="44" t="s">
        <v>315</v>
      </c>
    </row>
    <row r="309" spans="1:4" s="45" customFormat="1">
      <c r="A309" s="44">
        <v>309</v>
      </c>
      <c r="B309" s="50"/>
      <c r="C309" s="44" t="s">
        <v>8</v>
      </c>
    </row>
    <row r="310" spans="1:4" s="45" customFormat="1" ht="13.5" thickBot="1">
      <c r="A310" s="44">
        <v>310</v>
      </c>
      <c r="B310" s="52"/>
      <c r="C310" s="56" t="s">
        <v>8</v>
      </c>
    </row>
    <row r="311" spans="1:4" s="45" customFormat="1">
      <c r="A311" s="44">
        <v>311</v>
      </c>
      <c r="B311" s="51"/>
      <c r="C311" s="46" t="s">
        <v>16</v>
      </c>
      <c r="D311" s="45" t="s">
        <v>35</v>
      </c>
    </row>
    <row r="312" spans="1:4" s="45" customFormat="1">
      <c r="A312" s="44">
        <v>312</v>
      </c>
      <c r="B312" s="50"/>
      <c r="C312" s="44" t="s">
        <v>17</v>
      </c>
    </row>
    <row r="313" spans="1:4" s="45" customFormat="1">
      <c r="A313" s="44">
        <v>313</v>
      </c>
      <c r="B313" s="50"/>
      <c r="C313" s="44" t="s">
        <v>18</v>
      </c>
    </row>
    <row r="314" spans="1:4" s="45" customFormat="1">
      <c r="A314" s="44">
        <v>314</v>
      </c>
      <c r="B314" s="50"/>
      <c r="C314" s="44" t="s">
        <v>19</v>
      </c>
    </row>
    <row r="315" spans="1:4" s="45" customFormat="1">
      <c r="A315" s="44">
        <v>315</v>
      </c>
      <c r="B315" s="50"/>
      <c r="C315" s="44" t="s">
        <v>20</v>
      </c>
    </row>
    <row r="316" spans="1:4" s="45" customFormat="1">
      <c r="A316" s="44">
        <v>316</v>
      </c>
      <c r="B316" s="50"/>
      <c r="C316" s="44" t="s">
        <v>21</v>
      </c>
    </row>
    <row r="317" spans="1:4" s="45" customFormat="1">
      <c r="A317" s="44">
        <v>317</v>
      </c>
      <c r="B317" s="50"/>
      <c r="C317" s="44" t="s">
        <v>22</v>
      </c>
    </row>
    <row r="318" spans="1:4" s="45" customFormat="1">
      <c r="A318" s="44">
        <v>318</v>
      </c>
      <c r="B318" s="50"/>
      <c r="C318" s="44" t="s">
        <v>23</v>
      </c>
    </row>
    <row r="319" spans="1:4" s="45" customFormat="1">
      <c r="A319" s="44">
        <v>319</v>
      </c>
      <c r="B319" s="50"/>
      <c r="C319" s="44" t="s">
        <v>24</v>
      </c>
    </row>
    <row r="320" spans="1:4" s="45" customFormat="1">
      <c r="A320" s="44">
        <v>320</v>
      </c>
      <c r="B320" s="50"/>
      <c r="C320" s="44" t="s">
        <v>25</v>
      </c>
    </row>
    <row r="321" spans="1:4" s="45" customFormat="1">
      <c r="A321" s="44">
        <v>321</v>
      </c>
      <c r="B321" s="50"/>
      <c r="C321" s="44" t="s">
        <v>39</v>
      </c>
    </row>
    <row r="322" spans="1:4" s="45" customFormat="1">
      <c r="A322" s="44">
        <v>322</v>
      </c>
      <c r="B322" s="50"/>
      <c r="C322" s="44" t="s">
        <v>40</v>
      </c>
    </row>
    <row r="323" spans="1:4" s="45" customFormat="1">
      <c r="A323" s="44">
        <v>323</v>
      </c>
      <c r="B323" s="50"/>
      <c r="C323" s="44" t="s">
        <v>315</v>
      </c>
    </row>
    <row r="324" spans="1:4" s="45" customFormat="1">
      <c r="A324" s="44">
        <v>324</v>
      </c>
      <c r="B324" s="50"/>
      <c r="C324" s="44" t="s">
        <v>8</v>
      </c>
    </row>
    <row r="325" spans="1:4" s="45" customFormat="1" ht="13.5" thickBot="1">
      <c r="A325" s="44">
        <v>325</v>
      </c>
      <c r="B325" s="52"/>
      <c r="C325" s="56" t="s">
        <v>8</v>
      </c>
    </row>
    <row r="326" spans="1:4" s="45" customFormat="1">
      <c r="A326" s="44">
        <v>326</v>
      </c>
      <c r="B326" s="51"/>
      <c r="C326" s="46" t="s">
        <v>16</v>
      </c>
      <c r="D326" s="45" t="s">
        <v>36</v>
      </c>
    </row>
    <row r="327" spans="1:4" s="45" customFormat="1">
      <c r="A327" s="44">
        <v>327</v>
      </c>
      <c r="B327" s="50"/>
      <c r="C327" s="44" t="s">
        <v>17</v>
      </c>
    </row>
    <row r="328" spans="1:4" s="45" customFormat="1">
      <c r="A328" s="44">
        <v>328</v>
      </c>
      <c r="B328" s="50"/>
      <c r="C328" s="44" t="s">
        <v>18</v>
      </c>
    </row>
    <row r="329" spans="1:4" s="45" customFormat="1">
      <c r="A329" s="44">
        <v>329</v>
      </c>
      <c r="B329" s="50"/>
      <c r="C329" s="44" t="s">
        <v>19</v>
      </c>
    </row>
    <row r="330" spans="1:4" s="45" customFormat="1">
      <c r="A330" s="44">
        <v>330</v>
      </c>
      <c r="B330" s="50"/>
      <c r="C330" s="44" t="s">
        <v>20</v>
      </c>
    </row>
    <row r="331" spans="1:4" s="45" customFormat="1">
      <c r="A331" s="44">
        <v>331</v>
      </c>
      <c r="B331" s="50"/>
      <c r="C331" s="44" t="s">
        <v>21</v>
      </c>
    </row>
    <row r="332" spans="1:4" s="45" customFormat="1">
      <c r="A332" s="44">
        <v>332</v>
      </c>
      <c r="B332" s="50"/>
      <c r="C332" s="44" t="s">
        <v>22</v>
      </c>
    </row>
    <row r="333" spans="1:4" s="45" customFormat="1">
      <c r="A333" s="44">
        <v>333</v>
      </c>
      <c r="B333" s="50"/>
      <c r="C333" s="44" t="s">
        <v>23</v>
      </c>
    </row>
    <row r="334" spans="1:4" s="45" customFormat="1">
      <c r="A334" s="44">
        <v>334</v>
      </c>
      <c r="B334" s="50"/>
      <c r="C334" s="44" t="s">
        <v>24</v>
      </c>
    </row>
    <row r="335" spans="1:4" s="45" customFormat="1">
      <c r="A335" s="44">
        <v>335</v>
      </c>
      <c r="B335" s="50"/>
      <c r="C335" s="44" t="s">
        <v>25</v>
      </c>
    </row>
    <row r="336" spans="1:4" s="45" customFormat="1">
      <c r="A336" s="44">
        <v>336</v>
      </c>
      <c r="B336" s="50"/>
      <c r="C336" s="44" t="s">
        <v>39</v>
      </c>
    </row>
    <row r="337" spans="1:4" s="45" customFormat="1">
      <c r="A337" s="44">
        <v>337</v>
      </c>
      <c r="B337" s="50"/>
      <c r="C337" s="44" t="s">
        <v>40</v>
      </c>
    </row>
    <row r="338" spans="1:4" s="45" customFormat="1">
      <c r="A338" s="44">
        <v>338</v>
      </c>
      <c r="B338" s="50"/>
      <c r="C338" s="44" t="s">
        <v>315</v>
      </c>
    </row>
    <row r="339" spans="1:4" s="45" customFormat="1">
      <c r="A339" s="44">
        <v>339</v>
      </c>
      <c r="B339" s="50"/>
      <c r="C339" s="44" t="s">
        <v>8</v>
      </c>
    </row>
    <row r="340" spans="1:4" s="45" customFormat="1" ht="13.5" thickBot="1">
      <c r="A340" s="44">
        <v>340</v>
      </c>
      <c r="B340" s="52"/>
      <c r="C340" s="56" t="s">
        <v>8</v>
      </c>
    </row>
    <row r="341" spans="1:4" s="45" customFormat="1">
      <c r="A341" s="44">
        <v>341</v>
      </c>
      <c r="B341" s="51"/>
      <c r="C341" s="46" t="s">
        <v>16</v>
      </c>
      <c r="D341" s="45" t="s">
        <v>37</v>
      </c>
    </row>
    <row r="342" spans="1:4" s="45" customFormat="1">
      <c r="A342" s="44">
        <v>342</v>
      </c>
      <c r="B342" s="50"/>
      <c r="C342" s="44" t="s">
        <v>17</v>
      </c>
    </row>
    <row r="343" spans="1:4" s="45" customFormat="1">
      <c r="A343" s="44">
        <v>343</v>
      </c>
      <c r="B343" s="50"/>
      <c r="C343" s="44" t="s">
        <v>18</v>
      </c>
    </row>
    <row r="344" spans="1:4" s="45" customFormat="1">
      <c r="A344" s="44">
        <v>344</v>
      </c>
      <c r="B344" s="50"/>
      <c r="C344" s="44" t="s">
        <v>19</v>
      </c>
    </row>
    <row r="345" spans="1:4" s="45" customFormat="1">
      <c r="A345" s="44">
        <v>345</v>
      </c>
      <c r="B345" s="50"/>
      <c r="C345" s="44" t="s">
        <v>20</v>
      </c>
    </row>
    <row r="346" spans="1:4" s="45" customFormat="1">
      <c r="A346" s="44">
        <v>346</v>
      </c>
      <c r="B346" s="50"/>
      <c r="C346" s="44" t="s">
        <v>21</v>
      </c>
    </row>
    <row r="347" spans="1:4" s="45" customFormat="1">
      <c r="A347" s="44">
        <v>347</v>
      </c>
      <c r="B347" s="50"/>
      <c r="C347" s="44" t="s">
        <v>22</v>
      </c>
    </row>
    <row r="348" spans="1:4" s="45" customFormat="1">
      <c r="A348" s="44">
        <v>348</v>
      </c>
      <c r="B348" s="50"/>
      <c r="C348" s="44" t="s">
        <v>23</v>
      </c>
    </row>
    <row r="349" spans="1:4" s="45" customFormat="1">
      <c r="A349" s="44">
        <v>349</v>
      </c>
      <c r="B349" s="50"/>
      <c r="C349" s="44" t="s">
        <v>24</v>
      </c>
    </row>
    <row r="350" spans="1:4" s="45" customFormat="1">
      <c r="A350" s="44">
        <v>350</v>
      </c>
      <c r="B350" s="50"/>
      <c r="C350" s="44" t="s">
        <v>25</v>
      </c>
    </row>
    <row r="351" spans="1:4" s="45" customFormat="1">
      <c r="A351" s="44">
        <v>351</v>
      </c>
      <c r="B351" s="50"/>
      <c r="C351" s="44" t="s">
        <v>39</v>
      </c>
    </row>
    <row r="352" spans="1:4" s="45" customFormat="1">
      <c r="A352" s="44">
        <v>352</v>
      </c>
      <c r="B352" s="50"/>
      <c r="C352" s="44" t="s">
        <v>40</v>
      </c>
    </row>
    <row r="353" spans="1:4" s="45" customFormat="1">
      <c r="A353" s="44">
        <v>353</v>
      </c>
      <c r="B353" s="50"/>
      <c r="C353" s="44" t="s">
        <v>315</v>
      </c>
    </row>
    <row r="354" spans="1:4" s="45" customFormat="1">
      <c r="A354" s="44">
        <v>354</v>
      </c>
      <c r="B354" s="50"/>
      <c r="C354" s="44" t="s">
        <v>8</v>
      </c>
    </row>
    <row r="355" spans="1:4" s="45" customFormat="1" ht="13.5" thickBot="1">
      <c r="A355" s="44">
        <v>355</v>
      </c>
      <c r="B355" s="52"/>
      <c r="C355" s="56" t="s">
        <v>8</v>
      </c>
    </row>
    <row r="356" spans="1:4" s="45" customFormat="1">
      <c r="A356" s="44">
        <v>356</v>
      </c>
      <c r="B356" s="51"/>
      <c r="C356" s="46" t="s">
        <v>16</v>
      </c>
      <c r="D356" s="45" t="s">
        <v>38</v>
      </c>
    </row>
    <row r="357" spans="1:4" s="45" customFormat="1">
      <c r="A357" s="44">
        <v>357</v>
      </c>
      <c r="B357" s="50"/>
      <c r="C357" s="44" t="s">
        <v>17</v>
      </c>
    </row>
    <row r="358" spans="1:4" s="45" customFormat="1">
      <c r="A358" s="44">
        <v>358</v>
      </c>
      <c r="B358" s="50"/>
      <c r="C358" s="44" t="s">
        <v>18</v>
      </c>
    </row>
    <row r="359" spans="1:4" s="45" customFormat="1">
      <c r="A359" s="44">
        <v>359</v>
      </c>
      <c r="B359" s="50"/>
      <c r="C359" s="44" t="s">
        <v>19</v>
      </c>
    </row>
    <row r="360" spans="1:4" s="45" customFormat="1">
      <c r="A360" s="44">
        <v>360</v>
      </c>
      <c r="B360" s="50"/>
      <c r="C360" s="44" t="s">
        <v>20</v>
      </c>
    </row>
    <row r="361" spans="1:4" s="45" customFormat="1">
      <c r="A361" s="44">
        <v>361</v>
      </c>
      <c r="B361" s="50"/>
      <c r="C361" s="44" t="s">
        <v>21</v>
      </c>
    </row>
    <row r="362" spans="1:4" s="45" customFormat="1">
      <c r="A362" s="44">
        <v>362</v>
      </c>
      <c r="B362" s="50"/>
      <c r="C362" s="44" t="s">
        <v>22</v>
      </c>
    </row>
    <row r="363" spans="1:4" s="45" customFormat="1">
      <c r="A363" s="44">
        <v>363</v>
      </c>
      <c r="B363" s="50"/>
      <c r="C363" s="44" t="s">
        <v>23</v>
      </c>
    </row>
    <row r="364" spans="1:4" s="45" customFormat="1">
      <c r="A364" s="44">
        <v>364</v>
      </c>
      <c r="B364" s="50"/>
      <c r="C364" s="44" t="s">
        <v>24</v>
      </c>
    </row>
    <row r="365" spans="1:4" s="45" customFormat="1">
      <c r="A365" s="44">
        <v>365</v>
      </c>
      <c r="B365" s="50"/>
      <c r="C365" s="44" t="s">
        <v>25</v>
      </c>
    </row>
    <row r="366" spans="1:4" s="45" customFormat="1">
      <c r="A366" s="44">
        <v>366</v>
      </c>
      <c r="B366" s="50"/>
      <c r="C366" s="44" t="s">
        <v>39</v>
      </c>
    </row>
    <row r="367" spans="1:4" s="45" customFormat="1">
      <c r="A367" s="44">
        <v>367</v>
      </c>
      <c r="B367" s="50"/>
      <c r="C367" s="44" t="s">
        <v>40</v>
      </c>
    </row>
    <row r="368" spans="1:4" s="45" customFormat="1">
      <c r="A368" s="44">
        <v>368</v>
      </c>
      <c r="B368" s="50"/>
      <c r="C368" s="44" t="s">
        <v>315</v>
      </c>
    </row>
    <row r="369" spans="1:4" s="45" customFormat="1">
      <c r="A369" s="44">
        <v>369</v>
      </c>
      <c r="B369" s="50"/>
      <c r="C369" s="44" t="s">
        <v>8</v>
      </c>
    </row>
    <row r="370" spans="1:4" s="45" customFormat="1" ht="13.5" thickBot="1">
      <c r="A370" s="44">
        <v>370</v>
      </c>
      <c r="B370" s="52"/>
      <c r="C370" s="56" t="s">
        <v>8</v>
      </c>
    </row>
    <row r="371" spans="1:4" s="45" customFormat="1">
      <c r="A371" s="44">
        <v>371</v>
      </c>
      <c r="B371" s="51"/>
      <c r="C371" s="46" t="s">
        <v>16</v>
      </c>
      <c r="D371" s="45" t="s">
        <v>329</v>
      </c>
    </row>
    <row r="372" spans="1:4" s="45" customFormat="1">
      <c r="A372" s="44">
        <v>372</v>
      </c>
      <c r="B372" s="50"/>
      <c r="C372" s="44" t="s">
        <v>17</v>
      </c>
    </row>
    <row r="373" spans="1:4" s="45" customFormat="1">
      <c r="A373" s="44">
        <v>373</v>
      </c>
      <c r="B373" s="50"/>
      <c r="C373" s="44" t="s">
        <v>18</v>
      </c>
    </row>
    <row r="374" spans="1:4" s="45" customFormat="1">
      <c r="A374" s="44">
        <v>374</v>
      </c>
      <c r="B374" s="50"/>
      <c r="C374" s="44" t="s">
        <v>19</v>
      </c>
    </row>
    <row r="375" spans="1:4" s="45" customFormat="1">
      <c r="A375" s="44">
        <v>375</v>
      </c>
      <c r="B375" s="50"/>
      <c r="C375" s="44" t="s">
        <v>20</v>
      </c>
    </row>
    <row r="376" spans="1:4" s="45" customFormat="1">
      <c r="A376" s="44">
        <v>376</v>
      </c>
      <c r="B376" s="50"/>
      <c r="C376" s="44" t="s">
        <v>21</v>
      </c>
    </row>
    <row r="377" spans="1:4" s="45" customFormat="1">
      <c r="A377" s="44">
        <v>377</v>
      </c>
      <c r="B377" s="50"/>
      <c r="C377" s="44" t="s">
        <v>22</v>
      </c>
    </row>
    <row r="378" spans="1:4" s="45" customFormat="1">
      <c r="A378" s="44">
        <v>378</v>
      </c>
      <c r="B378" s="50"/>
      <c r="C378" s="44" t="s">
        <v>23</v>
      </c>
    </row>
    <row r="379" spans="1:4" s="45" customFormat="1">
      <c r="A379" s="44">
        <v>379</v>
      </c>
      <c r="B379" s="50"/>
      <c r="C379" s="44" t="s">
        <v>24</v>
      </c>
    </row>
    <row r="380" spans="1:4" s="45" customFormat="1">
      <c r="A380" s="44">
        <v>380</v>
      </c>
      <c r="B380" s="50"/>
      <c r="C380" s="44" t="s">
        <v>25</v>
      </c>
    </row>
    <row r="381" spans="1:4" s="45" customFormat="1">
      <c r="A381" s="44">
        <v>381</v>
      </c>
      <c r="B381" s="50"/>
      <c r="C381" s="44" t="s">
        <v>39</v>
      </c>
    </row>
    <row r="382" spans="1:4" s="45" customFormat="1">
      <c r="A382" s="44">
        <v>382</v>
      </c>
      <c r="B382" s="50"/>
      <c r="C382" s="44" t="s">
        <v>40</v>
      </c>
    </row>
    <row r="383" spans="1:4" s="45" customFormat="1">
      <c r="A383" s="44">
        <v>383</v>
      </c>
      <c r="B383" s="50"/>
      <c r="C383" s="44" t="s">
        <v>315</v>
      </c>
    </row>
    <row r="384" spans="1:4" s="45" customFormat="1">
      <c r="A384" s="44">
        <v>384</v>
      </c>
      <c r="B384" s="50"/>
      <c r="C384" s="44" t="s">
        <v>8</v>
      </c>
    </row>
    <row r="385" spans="1:4" s="45" customFormat="1" ht="13.5" thickBot="1">
      <c r="A385" s="44">
        <v>385</v>
      </c>
      <c r="B385" s="52"/>
      <c r="C385" s="56" t="s">
        <v>8</v>
      </c>
    </row>
    <row r="386" spans="1:4" s="45" customFormat="1">
      <c r="A386" s="44">
        <v>386</v>
      </c>
      <c r="B386" s="51"/>
      <c r="C386" s="46" t="s">
        <v>16</v>
      </c>
      <c r="D386" s="45" t="s">
        <v>330</v>
      </c>
    </row>
    <row r="387" spans="1:4" s="45" customFormat="1">
      <c r="A387" s="44">
        <v>387</v>
      </c>
      <c r="B387" s="50"/>
      <c r="C387" s="44" t="s">
        <v>17</v>
      </c>
    </row>
    <row r="388" spans="1:4" s="45" customFormat="1">
      <c r="A388" s="44">
        <v>388</v>
      </c>
      <c r="B388" s="50"/>
      <c r="C388" s="44" t="s">
        <v>18</v>
      </c>
    </row>
    <row r="389" spans="1:4" s="45" customFormat="1">
      <c r="A389" s="44">
        <v>389</v>
      </c>
      <c r="B389" s="50"/>
      <c r="C389" s="44" t="s">
        <v>19</v>
      </c>
    </row>
    <row r="390" spans="1:4" s="45" customFormat="1">
      <c r="A390" s="44">
        <v>390</v>
      </c>
      <c r="B390" s="50"/>
      <c r="C390" s="44" t="s">
        <v>20</v>
      </c>
    </row>
    <row r="391" spans="1:4" s="45" customFormat="1">
      <c r="A391" s="44">
        <v>391</v>
      </c>
      <c r="B391" s="50"/>
      <c r="C391" s="44" t="s">
        <v>21</v>
      </c>
    </row>
    <row r="392" spans="1:4" s="45" customFormat="1">
      <c r="A392" s="44">
        <v>392</v>
      </c>
      <c r="B392" s="50"/>
      <c r="C392" s="44" t="s">
        <v>22</v>
      </c>
    </row>
    <row r="393" spans="1:4" s="45" customFormat="1">
      <c r="A393" s="44">
        <v>393</v>
      </c>
      <c r="B393" s="50"/>
      <c r="C393" s="44" t="s">
        <v>23</v>
      </c>
    </row>
    <row r="394" spans="1:4" s="45" customFormat="1">
      <c r="A394" s="44">
        <v>394</v>
      </c>
      <c r="B394" s="50"/>
      <c r="C394" s="44" t="s">
        <v>24</v>
      </c>
    </row>
    <row r="395" spans="1:4" s="45" customFormat="1">
      <c r="A395" s="44">
        <v>395</v>
      </c>
      <c r="B395" s="50"/>
      <c r="C395" s="44" t="s">
        <v>25</v>
      </c>
    </row>
    <row r="396" spans="1:4" s="45" customFormat="1">
      <c r="A396" s="44">
        <v>396</v>
      </c>
      <c r="B396" s="50"/>
      <c r="C396" s="44" t="s">
        <v>39</v>
      </c>
    </row>
    <row r="397" spans="1:4" s="45" customFormat="1">
      <c r="A397" s="44">
        <v>397</v>
      </c>
      <c r="B397" s="50"/>
      <c r="C397" s="44" t="s">
        <v>40</v>
      </c>
    </row>
    <row r="398" spans="1:4" s="45" customFormat="1">
      <c r="A398" s="44">
        <v>398</v>
      </c>
      <c r="B398" s="50"/>
      <c r="C398" s="44" t="s">
        <v>315</v>
      </c>
    </row>
    <row r="399" spans="1:4" s="45" customFormat="1">
      <c r="A399" s="44">
        <v>399</v>
      </c>
      <c r="B399" s="50"/>
      <c r="C399" s="44" t="s">
        <v>8</v>
      </c>
    </row>
    <row r="400" spans="1:4" s="45" customFormat="1" ht="13.5" thickBot="1">
      <c r="A400" s="44">
        <v>400</v>
      </c>
      <c r="B400" s="52"/>
      <c r="C400" s="56" t="s">
        <v>8</v>
      </c>
    </row>
    <row r="401" spans="1:4" s="45" customFormat="1">
      <c r="A401" s="44">
        <v>401</v>
      </c>
      <c r="B401" s="51"/>
      <c r="C401" s="46" t="s">
        <v>16</v>
      </c>
      <c r="D401" s="45" t="s">
        <v>331</v>
      </c>
    </row>
    <row r="402" spans="1:4" s="45" customFormat="1">
      <c r="A402" s="44">
        <v>402</v>
      </c>
      <c r="B402" s="50"/>
      <c r="C402" s="44" t="s">
        <v>17</v>
      </c>
    </row>
    <row r="403" spans="1:4" s="45" customFormat="1">
      <c r="A403" s="44">
        <v>403</v>
      </c>
      <c r="B403" s="50"/>
      <c r="C403" s="44" t="s">
        <v>18</v>
      </c>
    </row>
    <row r="404" spans="1:4" s="45" customFormat="1">
      <c r="A404" s="44">
        <v>404</v>
      </c>
      <c r="B404" s="50"/>
      <c r="C404" s="44" t="s">
        <v>19</v>
      </c>
    </row>
    <row r="405" spans="1:4" s="45" customFormat="1">
      <c r="A405" s="44">
        <v>405</v>
      </c>
      <c r="B405" s="50"/>
      <c r="C405" s="44" t="s">
        <v>20</v>
      </c>
    </row>
    <row r="406" spans="1:4" s="45" customFormat="1">
      <c r="A406" s="44">
        <v>406</v>
      </c>
      <c r="B406" s="50"/>
      <c r="C406" s="44" t="s">
        <v>21</v>
      </c>
    </row>
    <row r="407" spans="1:4" s="45" customFormat="1">
      <c r="A407" s="44">
        <v>407</v>
      </c>
      <c r="B407" s="50"/>
      <c r="C407" s="44" t="s">
        <v>22</v>
      </c>
    </row>
    <row r="408" spans="1:4" s="45" customFormat="1">
      <c r="A408" s="44">
        <v>408</v>
      </c>
      <c r="B408" s="50"/>
      <c r="C408" s="44" t="s">
        <v>23</v>
      </c>
    </row>
    <row r="409" spans="1:4" s="45" customFormat="1">
      <c r="A409" s="44">
        <v>409</v>
      </c>
      <c r="B409" s="50"/>
      <c r="C409" s="44" t="s">
        <v>24</v>
      </c>
    </row>
    <row r="410" spans="1:4" s="45" customFormat="1">
      <c r="A410" s="44">
        <v>410</v>
      </c>
      <c r="B410" s="50"/>
      <c r="C410" s="44" t="s">
        <v>25</v>
      </c>
    </row>
    <row r="411" spans="1:4" s="45" customFormat="1">
      <c r="A411" s="44">
        <v>411</v>
      </c>
      <c r="B411" s="50"/>
      <c r="C411" s="44" t="s">
        <v>39</v>
      </c>
    </row>
    <row r="412" spans="1:4" s="45" customFormat="1">
      <c r="A412" s="44">
        <v>412</v>
      </c>
      <c r="B412" s="50"/>
      <c r="C412" s="44" t="s">
        <v>40</v>
      </c>
    </row>
    <row r="413" spans="1:4" s="45" customFormat="1">
      <c r="A413" s="44">
        <v>413</v>
      </c>
      <c r="B413" s="50"/>
      <c r="C413" s="44" t="s">
        <v>315</v>
      </c>
    </row>
    <row r="414" spans="1:4" s="45" customFormat="1">
      <c r="A414" s="44">
        <v>414</v>
      </c>
      <c r="B414" s="50"/>
      <c r="C414" s="44" t="s">
        <v>8</v>
      </c>
    </row>
    <row r="415" spans="1:4" s="45" customFormat="1" ht="13.5" thickBot="1">
      <c r="A415" s="44">
        <v>415</v>
      </c>
      <c r="B415" s="52"/>
      <c r="C415" s="56" t="s">
        <v>8</v>
      </c>
    </row>
    <row r="416" spans="1:4" s="45" customFormat="1">
      <c r="A416" s="44">
        <v>416</v>
      </c>
      <c r="B416" s="51"/>
      <c r="C416" s="46" t="s">
        <v>16</v>
      </c>
      <c r="D416" s="45" t="s">
        <v>332</v>
      </c>
    </row>
    <row r="417" spans="1:4" s="45" customFormat="1">
      <c r="A417" s="44">
        <v>417</v>
      </c>
      <c r="B417" s="50"/>
      <c r="C417" s="44" t="s">
        <v>17</v>
      </c>
    </row>
    <row r="418" spans="1:4" s="45" customFormat="1">
      <c r="A418" s="44">
        <v>418</v>
      </c>
      <c r="B418" s="50"/>
      <c r="C418" s="44" t="s">
        <v>18</v>
      </c>
    </row>
    <row r="419" spans="1:4" s="45" customFormat="1">
      <c r="A419" s="44">
        <v>419</v>
      </c>
      <c r="B419" s="50"/>
      <c r="C419" s="44" t="s">
        <v>19</v>
      </c>
    </row>
    <row r="420" spans="1:4" s="45" customFormat="1">
      <c r="A420" s="44">
        <v>420</v>
      </c>
      <c r="B420" s="50"/>
      <c r="C420" s="44" t="s">
        <v>20</v>
      </c>
    </row>
    <row r="421" spans="1:4" s="45" customFormat="1">
      <c r="A421" s="44">
        <v>421</v>
      </c>
      <c r="B421" s="50"/>
      <c r="C421" s="44" t="s">
        <v>21</v>
      </c>
    </row>
    <row r="422" spans="1:4" s="45" customFormat="1">
      <c r="A422" s="44">
        <v>422</v>
      </c>
      <c r="B422" s="50"/>
      <c r="C422" s="44" t="s">
        <v>22</v>
      </c>
    </row>
    <row r="423" spans="1:4" s="45" customFormat="1">
      <c r="A423" s="44">
        <v>423</v>
      </c>
      <c r="B423" s="50"/>
      <c r="C423" s="44" t="s">
        <v>23</v>
      </c>
    </row>
    <row r="424" spans="1:4" s="45" customFormat="1">
      <c r="A424" s="44">
        <v>424</v>
      </c>
      <c r="B424" s="50"/>
      <c r="C424" s="44" t="s">
        <v>24</v>
      </c>
    </row>
    <row r="425" spans="1:4" s="45" customFormat="1">
      <c r="A425" s="44">
        <v>425</v>
      </c>
      <c r="B425" s="50"/>
      <c r="C425" s="44" t="s">
        <v>25</v>
      </c>
    </row>
    <row r="426" spans="1:4" s="45" customFormat="1">
      <c r="A426" s="44">
        <v>426</v>
      </c>
      <c r="B426" s="50"/>
      <c r="C426" s="44" t="s">
        <v>39</v>
      </c>
    </row>
    <row r="427" spans="1:4" s="45" customFormat="1">
      <c r="A427" s="44">
        <v>427</v>
      </c>
      <c r="B427" s="50"/>
      <c r="C427" s="44" t="s">
        <v>40</v>
      </c>
    </row>
    <row r="428" spans="1:4" s="45" customFormat="1">
      <c r="A428" s="44">
        <v>428</v>
      </c>
      <c r="B428" s="50"/>
      <c r="C428" s="44" t="s">
        <v>315</v>
      </c>
    </row>
    <row r="429" spans="1:4" s="45" customFormat="1">
      <c r="A429" s="44">
        <v>429</v>
      </c>
      <c r="B429" s="50"/>
      <c r="C429" s="44" t="s">
        <v>8</v>
      </c>
    </row>
    <row r="430" spans="1:4" s="45" customFormat="1" ht="13.5" thickBot="1">
      <c r="A430" s="44">
        <v>430</v>
      </c>
      <c r="B430" s="52"/>
      <c r="C430" s="56" t="s">
        <v>8</v>
      </c>
    </row>
    <row r="431" spans="1:4" s="45" customFormat="1">
      <c r="A431" s="44">
        <v>431</v>
      </c>
      <c r="B431" s="51"/>
      <c r="C431" s="46" t="s">
        <v>16</v>
      </c>
      <c r="D431" s="45" t="s">
        <v>333</v>
      </c>
    </row>
    <row r="432" spans="1:4" s="45" customFormat="1">
      <c r="A432" s="44">
        <v>432</v>
      </c>
      <c r="B432" s="50"/>
      <c r="C432" s="44" t="s">
        <v>17</v>
      </c>
    </row>
    <row r="433" spans="1:4" s="45" customFormat="1">
      <c r="A433" s="44">
        <v>433</v>
      </c>
      <c r="B433" s="50"/>
      <c r="C433" s="44" t="s">
        <v>18</v>
      </c>
    </row>
    <row r="434" spans="1:4" s="45" customFormat="1">
      <c r="A434" s="44">
        <v>434</v>
      </c>
      <c r="B434" s="50"/>
      <c r="C434" s="44" t="s">
        <v>19</v>
      </c>
    </row>
    <row r="435" spans="1:4" s="45" customFormat="1">
      <c r="A435" s="44">
        <v>435</v>
      </c>
      <c r="B435" s="50"/>
      <c r="C435" s="44" t="s">
        <v>20</v>
      </c>
    </row>
    <row r="436" spans="1:4" s="45" customFormat="1">
      <c r="A436" s="44">
        <v>436</v>
      </c>
      <c r="B436" s="50"/>
      <c r="C436" s="44" t="s">
        <v>21</v>
      </c>
    </row>
    <row r="437" spans="1:4" s="45" customFormat="1">
      <c r="A437" s="44">
        <v>437</v>
      </c>
      <c r="B437" s="50"/>
      <c r="C437" s="44" t="s">
        <v>22</v>
      </c>
    </row>
    <row r="438" spans="1:4" s="45" customFormat="1">
      <c r="A438" s="44">
        <v>438</v>
      </c>
      <c r="B438" s="50"/>
      <c r="C438" s="44" t="s">
        <v>23</v>
      </c>
    </row>
    <row r="439" spans="1:4" s="45" customFormat="1">
      <c r="A439" s="44">
        <v>439</v>
      </c>
      <c r="B439" s="50"/>
      <c r="C439" s="44" t="s">
        <v>24</v>
      </c>
    </row>
    <row r="440" spans="1:4" s="45" customFormat="1">
      <c r="A440" s="44">
        <v>440</v>
      </c>
      <c r="B440" s="50"/>
      <c r="C440" s="44" t="s">
        <v>25</v>
      </c>
    </row>
    <row r="441" spans="1:4" s="45" customFormat="1">
      <c r="A441" s="44">
        <v>441</v>
      </c>
      <c r="B441" s="50"/>
      <c r="C441" s="44" t="s">
        <v>39</v>
      </c>
    </row>
    <row r="442" spans="1:4" s="45" customFormat="1">
      <c r="A442" s="44">
        <v>442</v>
      </c>
      <c r="B442" s="50"/>
      <c r="C442" s="44" t="s">
        <v>40</v>
      </c>
    </row>
    <row r="443" spans="1:4" s="45" customFormat="1">
      <c r="A443" s="44">
        <v>443</v>
      </c>
      <c r="B443" s="50"/>
      <c r="C443" s="44" t="s">
        <v>315</v>
      </c>
    </row>
    <row r="444" spans="1:4" s="45" customFormat="1">
      <c r="A444" s="44">
        <v>444</v>
      </c>
      <c r="B444" s="50"/>
      <c r="C444" s="44" t="s">
        <v>8</v>
      </c>
    </row>
    <row r="445" spans="1:4" s="45" customFormat="1" ht="13.5" thickBot="1">
      <c r="A445" s="44">
        <v>445</v>
      </c>
      <c r="B445" s="52"/>
      <c r="C445" s="56" t="s">
        <v>8</v>
      </c>
    </row>
    <row r="446" spans="1:4" s="54" customFormat="1">
      <c r="A446" s="44">
        <v>446</v>
      </c>
      <c r="C446" s="53" t="s">
        <v>16</v>
      </c>
      <c r="D446" s="54" t="s">
        <v>304</v>
      </c>
    </row>
    <row r="447" spans="1:4" s="54" customFormat="1">
      <c r="A447" s="44">
        <v>447</v>
      </c>
      <c r="C447" s="53" t="s">
        <v>17</v>
      </c>
    </row>
    <row r="448" spans="1:4" s="54" customFormat="1">
      <c r="A448" s="44">
        <v>448</v>
      </c>
      <c r="C448" s="53" t="s">
        <v>18</v>
      </c>
    </row>
    <row r="449" spans="1:4" s="54" customFormat="1">
      <c r="A449" s="44">
        <v>449</v>
      </c>
      <c r="C449" s="53" t="s">
        <v>19</v>
      </c>
    </row>
    <row r="450" spans="1:4" s="54" customFormat="1">
      <c r="A450" s="44">
        <v>450</v>
      </c>
      <c r="C450" s="53" t="s">
        <v>20</v>
      </c>
    </row>
    <row r="451" spans="1:4" s="54" customFormat="1">
      <c r="A451" s="44">
        <v>451</v>
      </c>
      <c r="C451" s="53" t="s">
        <v>21</v>
      </c>
    </row>
    <row r="452" spans="1:4" s="54" customFormat="1">
      <c r="A452" s="44">
        <v>452</v>
      </c>
      <c r="C452" s="53" t="s">
        <v>22</v>
      </c>
    </row>
    <row r="453" spans="1:4" s="54" customFormat="1">
      <c r="A453" s="44">
        <v>453</v>
      </c>
      <c r="C453" s="53" t="s">
        <v>23</v>
      </c>
    </row>
    <row r="454" spans="1:4" s="54" customFormat="1">
      <c r="A454" s="44">
        <v>454</v>
      </c>
      <c r="C454" s="53" t="s">
        <v>24</v>
      </c>
    </row>
    <row r="455" spans="1:4" s="54" customFormat="1">
      <c r="A455" s="44">
        <v>455</v>
      </c>
      <c r="C455" s="53" t="s">
        <v>25</v>
      </c>
    </row>
    <row r="456" spans="1:4" s="54" customFormat="1">
      <c r="A456" s="44">
        <v>456</v>
      </c>
      <c r="C456" s="53" t="s">
        <v>15</v>
      </c>
    </row>
    <row r="457" spans="1:4" s="54" customFormat="1">
      <c r="A457" s="44">
        <v>457</v>
      </c>
      <c r="C457" s="53" t="s">
        <v>39</v>
      </c>
    </row>
    <row r="458" spans="1:4" s="54" customFormat="1">
      <c r="A458" s="44">
        <v>458</v>
      </c>
      <c r="C458" s="53" t="s">
        <v>40</v>
      </c>
    </row>
    <row r="459" spans="1:4" s="54" customFormat="1">
      <c r="A459" s="44">
        <v>459</v>
      </c>
      <c r="C459" s="53" t="s">
        <v>8</v>
      </c>
    </row>
    <row r="460" spans="1:4" s="54" customFormat="1" ht="13.5" thickBot="1">
      <c r="A460" s="44">
        <v>460</v>
      </c>
      <c r="B460" s="55"/>
      <c r="C460" s="53" t="s">
        <v>8</v>
      </c>
    </row>
    <row r="461" spans="1:4" s="54" customFormat="1">
      <c r="A461" s="44">
        <v>461</v>
      </c>
      <c r="C461" s="53" t="s">
        <v>16</v>
      </c>
      <c r="D461" s="54" t="s">
        <v>305</v>
      </c>
    </row>
    <row r="462" spans="1:4" s="54" customFormat="1">
      <c r="A462" s="44">
        <v>462</v>
      </c>
      <c r="C462" s="53" t="s">
        <v>17</v>
      </c>
    </row>
    <row r="463" spans="1:4" s="54" customFormat="1">
      <c r="A463" s="44">
        <v>463</v>
      </c>
      <c r="C463" s="53" t="s">
        <v>18</v>
      </c>
    </row>
    <row r="464" spans="1:4" s="54" customFormat="1">
      <c r="A464" s="44">
        <v>464</v>
      </c>
      <c r="C464" s="53" t="s">
        <v>19</v>
      </c>
    </row>
    <row r="465" spans="1:4" s="54" customFormat="1">
      <c r="A465" s="44">
        <v>465</v>
      </c>
      <c r="C465" s="53" t="s">
        <v>20</v>
      </c>
    </row>
    <row r="466" spans="1:4" s="54" customFormat="1">
      <c r="A466" s="44">
        <v>466</v>
      </c>
      <c r="C466" s="53" t="s">
        <v>21</v>
      </c>
    </row>
    <row r="467" spans="1:4" s="54" customFormat="1">
      <c r="A467" s="44">
        <v>467</v>
      </c>
      <c r="C467" s="53" t="s">
        <v>22</v>
      </c>
    </row>
    <row r="468" spans="1:4" s="54" customFormat="1">
      <c r="A468" s="44">
        <v>468</v>
      </c>
      <c r="C468" s="53" t="s">
        <v>23</v>
      </c>
    </row>
    <row r="469" spans="1:4" s="54" customFormat="1">
      <c r="A469" s="44">
        <v>469</v>
      </c>
      <c r="C469" s="53" t="s">
        <v>24</v>
      </c>
    </row>
    <row r="470" spans="1:4" s="54" customFormat="1">
      <c r="A470" s="44">
        <v>470</v>
      </c>
      <c r="C470" s="53" t="s">
        <v>25</v>
      </c>
    </row>
    <row r="471" spans="1:4" s="54" customFormat="1">
      <c r="A471" s="44">
        <v>471</v>
      </c>
      <c r="C471" s="53" t="s">
        <v>15</v>
      </c>
    </row>
    <row r="472" spans="1:4" s="54" customFormat="1">
      <c r="A472" s="44">
        <v>472</v>
      </c>
      <c r="C472" s="53" t="s">
        <v>39</v>
      </c>
    </row>
    <row r="473" spans="1:4" s="54" customFormat="1">
      <c r="A473" s="44">
        <v>473</v>
      </c>
      <c r="C473" s="53" t="s">
        <v>40</v>
      </c>
    </row>
    <row r="474" spans="1:4" s="54" customFormat="1">
      <c r="A474" s="44">
        <v>474</v>
      </c>
      <c r="C474" s="53" t="s">
        <v>8</v>
      </c>
    </row>
    <row r="475" spans="1:4" s="54" customFormat="1" ht="13.5" thickBot="1">
      <c r="A475" s="44">
        <v>475</v>
      </c>
      <c r="B475" s="55"/>
      <c r="C475" s="53" t="s">
        <v>8</v>
      </c>
    </row>
    <row r="476" spans="1:4" s="54" customFormat="1">
      <c r="A476" s="44">
        <v>476</v>
      </c>
      <c r="C476" s="53" t="s">
        <v>16</v>
      </c>
      <c r="D476" s="54" t="s">
        <v>306</v>
      </c>
    </row>
    <row r="477" spans="1:4" s="54" customFormat="1">
      <c r="A477" s="44">
        <v>477</v>
      </c>
      <c r="C477" s="53" t="s">
        <v>17</v>
      </c>
    </row>
    <row r="478" spans="1:4" s="54" customFormat="1">
      <c r="A478" s="44">
        <v>478</v>
      </c>
      <c r="C478" s="53" t="s">
        <v>18</v>
      </c>
    </row>
    <row r="479" spans="1:4" s="54" customFormat="1">
      <c r="A479" s="44">
        <v>479</v>
      </c>
      <c r="C479" s="53" t="s">
        <v>19</v>
      </c>
    </row>
    <row r="480" spans="1:4" s="54" customFormat="1">
      <c r="A480" s="44">
        <v>480</v>
      </c>
      <c r="C480" s="53" t="s">
        <v>20</v>
      </c>
    </row>
    <row r="481" spans="1:4" s="54" customFormat="1">
      <c r="A481" s="44">
        <v>481</v>
      </c>
      <c r="C481" s="53" t="s">
        <v>21</v>
      </c>
    </row>
    <row r="482" spans="1:4" s="54" customFormat="1">
      <c r="A482" s="44">
        <v>482</v>
      </c>
      <c r="C482" s="53" t="s">
        <v>22</v>
      </c>
    </row>
    <row r="483" spans="1:4" s="54" customFormat="1">
      <c r="A483" s="44">
        <v>483</v>
      </c>
      <c r="C483" s="53" t="s">
        <v>23</v>
      </c>
    </row>
    <row r="484" spans="1:4" s="54" customFormat="1">
      <c r="A484" s="44">
        <v>484</v>
      </c>
      <c r="C484" s="53" t="s">
        <v>24</v>
      </c>
    </row>
    <row r="485" spans="1:4" s="54" customFormat="1">
      <c r="A485" s="44">
        <v>485</v>
      </c>
      <c r="C485" s="53" t="s">
        <v>25</v>
      </c>
    </row>
    <row r="486" spans="1:4" s="54" customFormat="1">
      <c r="A486" s="44">
        <v>486</v>
      </c>
      <c r="C486" s="53" t="s">
        <v>15</v>
      </c>
    </row>
    <row r="487" spans="1:4" s="54" customFormat="1">
      <c r="A487" s="44">
        <v>487</v>
      </c>
      <c r="C487" s="53" t="s">
        <v>39</v>
      </c>
    </row>
    <row r="488" spans="1:4" s="54" customFormat="1">
      <c r="A488" s="44">
        <v>488</v>
      </c>
      <c r="C488" s="53" t="s">
        <v>40</v>
      </c>
    </row>
    <row r="489" spans="1:4" s="54" customFormat="1">
      <c r="A489" s="44">
        <v>489</v>
      </c>
      <c r="C489" s="53" t="s">
        <v>8</v>
      </c>
    </row>
    <row r="490" spans="1:4" s="54" customFormat="1" ht="13.5" thickBot="1">
      <c r="A490" s="44">
        <v>490</v>
      </c>
      <c r="B490" s="55"/>
      <c r="C490" s="53" t="s">
        <v>8</v>
      </c>
    </row>
    <row r="491" spans="1:4" s="54" customFormat="1">
      <c r="A491" s="44">
        <v>491</v>
      </c>
      <c r="C491" s="53" t="s">
        <v>16</v>
      </c>
      <c r="D491" s="54" t="s">
        <v>307</v>
      </c>
    </row>
    <row r="492" spans="1:4" s="54" customFormat="1">
      <c r="A492" s="44">
        <v>492</v>
      </c>
      <c r="C492" s="53" t="s">
        <v>17</v>
      </c>
    </row>
    <row r="493" spans="1:4" s="54" customFormat="1">
      <c r="A493" s="44">
        <v>493</v>
      </c>
      <c r="C493" s="53" t="s">
        <v>18</v>
      </c>
    </row>
    <row r="494" spans="1:4" s="54" customFormat="1">
      <c r="A494" s="44">
        <v>494</v>
      </c>
      <c r="C494" s="53" t="s">
        <v>19</v>
      </c>
    </row>
    <row r="495" spans="1:4" s="54" customFormat="1">
      <c r="A495" s="44">
        <v>495</v>
      </c>
      <c r="C495" s="53" t="s">
        <v>20</v>
      </c>
    </row>
    <row r="496" spans="1:4" s="54" customFormat="1">
      <c r="A496" s="44">
        <v>496</v>
      </c>
      <c r="C496" s="53" t="s">
        <v>21</v>
      </c>
    </row>
    <row r="497" spans="1:4" s="54" customFormat="1">
      <c r="A497" s="44">
        <v>497</v>
      </c>
      <c r="C497" s="53" t="s">
        <v>22</v>
      </c>
    </row>
    <row r="498" spans="1:4" s="54" customFormat="1">
      <c r="A498" s="44">
        <v>498</v>
      </c>
      <c r="C498" s="53" t="s">
        <v>23</v>
      </c>
    </row>
    <row r="499" spans="1:4" s="54" customFormat="1">
      <c r="A499" s="44">
        <v>499</v>
      </c>
      <c r="C499" s="53" t="s">
        <v>24</v>
      </c>
    </row>
    <row r="500" spans="1:4" s="54" customFormat="1">
      <c r="A500" s="44">
        <v>500</v>
      </c>
      <c r="C500" s="53" t="s">
        <v>25</v>
      </c>
    </row>
    <row r="501" spans="1:4" s="54" customFormat="1">
      <c r="A501" s="44">
        <v>501</v>
      </c>
      <c r="C501" s="53" t="s">
        <v>15</v>
      </c>
    </row>
    <row r="502" spans="1:4" s="54" customFormat="1">
      <c r="A502" s="44">
        <v>502</v>
      </c>
      <c r="C502" s="53" t="s">
        <v>39</v>
      </c>
    </row>
    <row r="503" spans="1:4" s="54" customFormat="1">
      <c r="A503" s="44">
        <v>503</v>
      </c>
      <c r="C503" s="53" t="s">
        <v>40</v>
      </c>
    </row>
    <row r="504" spans="1:4" s="54" customFormat="1">
      <c r="A504" s="44">
        <v>504</v>
      </c>
      <c r="C504" s="53" t="s">
        <v>8</v>
      </c>
    </row>
    <row r="505" spans="1:4" s="54" customFormat="1" ht="13.5" thickBot="1">
      <c r="A505" s="44">
        <v>505</v>
      </c>
      <c r="B505" s="55"/>
      <c r="C505" s="53" t="s">
        <v>8</v>
      </c>
    </row>
    <row r="506" spans="1:4" s="54" customFormat="1">
      <c r="A506" s="44">
        <v>506</v>
      </c>
      <c r="C506" s="53" t="s">
        <v>16</v>
      </c>
      <c r="D506" s="54" t="s">
        <v>308</v>
      </c>
    </row>
    <row r="507" spans="1:4" s="54" customFormat="1">
      <c r="A507" s="44">
        <v>507</v>
      </c>
      <c r="C507" s="53" t="s">
        <v>17</v>
      </c>
    </row>
    <row r="508" spans="1:4" s="54" customFormat="1">
      <c r="A508" s="44">
        <v>508</v>
      </c>
      <c r="C508" s="53" t="s">
        <v>18</v>
      </c>
    </row>
    <row r="509" spans="1:4" s="54" customFormat="1">
      <c r="A509" s="44">
        <v>509</v>
      </c>
      <c r="C509" s="53" t="s">
        <v>19</v>
      </c>
    </row>
    <row r="510" spans="1:4" s="54" customFormat="1">
      <c r="A510" s="44">
        <v>510</v>
      </c>
      <c r="C510" s="53" t="s">
        <v>20</v>
      </c>
    </row>
    <row r="511" spans="1:4" s="54" customFormat="1">
      <c r="A511" s="44">
        <v>511</v>
      </c>
      <c r="C511" s="53" t="s">
        <v>21</v>
      </c>
    </row>
    <row r="512" spans="1:4" s="54" customFormat="1">
      <c r="A512" s="44">
        <v>512</v>
      </c>
      <c r="C512" s="53" t="s">
        <v>22</v>
      </c>
    </row>
    <row r="513" spans="1:4" s="54" customFormat="1">
      <c r="A513" s="44">
        <v>513</v>
      </c>
      <c r="C513" s="53" t="s">
        <v>23</v>
      </c>
    </row>
    <row r="514" spans="1:4" s="54" customFormat="1">
      <c r="A514" s="44">
        <v>514</v>
      </c>
      <c r="C514" s="53" t="s">
        <v>24</v>
      </c>
    </row>
    <row r="515" spans="1:4" s="54" customFormat="1">
      <c r="A515" s="44">
        <v>515</v>
      </c>
      <c r="C515" s="53" t="s">
        <v>25</v>
      </c>
    </row>
    <row r="516" spans="1:4" s="54" customFormat="1">
      <c r="A516" s="44">
        <v>516</v>
      </c>
      <c r="C516" s="53" t="s">
        <v>15</v>
      </c>
    </row>
    <row r="517" spans="1:4" s="54" customFormat="1">
      <c r="A517" s="44">
        <v>517</v>
      </c>
      <c r="C517" s="53" t="s">
        <v>39</v>
      </c>
    </row>
    <row r="518" spans="1:4" s="54" customFormat="1">
      <c r="A518" s="44">
        <v>518</v>
      </c>
      <c r="C518" s="53" t="s">
        <v>40</v>
      </c>
    </row>
    <row r="519" spans="1:4" s="54" customFormat="1">
      <c r="A519" s="44">
        <v>519</v>
      </c>
      <c r="C519" s="53" t="s">
        <v>8</v>
      </c>
    </row>
    <row r="520" spans="1:4" s="54" customFormat="1" ht="13.5" thickBot="1">
      <c r="A520" s="44">
        <v>520</v>
      </c>
      <c r="B520" s="55"/>
      <c r="C520" s="53" t="s">
        <v>8</v>
      </c>
    </row>
    <row r="521" spans="1:4" s="1" customFormat="1">
      <c r="A521" s="44">
        <v>521</v>
      </c>
      <c r="C521" s="47" t="s">
        <v>16</v>
      </c>
      <c r="D521" s="1" t="s">
        <v>177</v>
      </c>
    </row>
    <row r="522" spans="1:4" s="1" customFormat="1">
      <c r="A522" s="44">
        <v>522</v>
      </c>
      <c r="C522" s="2" t="s">
        <v>17</v>
      </c>
    </row>
    <row r="523" spans="1:4" s="1" customFormat="1">
      <c r="A523" s="44">
        <v>523</v>
      </c>
      <c r="C523" s="2" t="s">
        <v>18</v>
      </c>
    </row>
    <row r="524" spans="1:4" s="1" customFormat="1">
      <c r="A524" s="44">
        <v>524</v>
      </c>
      <c r="C524" s="2" t="s">
        <v>19</v>
      </c>
    </row>
    <row r="525" spans="1:4" s="1" customFormat="1">
      <c r="A525" s="44">
        <v>525</v>
      </c>
      <c r="C525" s="2" t="s">
        <v>20</v>
      </c>
    </row>
    <row r="526" spans="1:4" s="1" customFormat="1">
      <c r="A526" s="44">
        <v>526</v>
      </c>
      <c r="C526" s="2" t="s">
        <v>21</v>
      </c>
    </row>
    <row r="527" spans="1:4" s="1" customFormat="1">
      <c r="A527" s="44">
        <v>527</v>
      </c>
      <c r="C527" s="2" t="s">
        <v>22</v>
      </c>
    </row>
    <row r="528" spans="1:4" s="1" customFormat="1">
      <c r="A528" s="44">
        <v>528</v>
      </c>
      <c r="C528" s="2" t="s">
        <v>23</v>
      </c>
    </row>
    <row r="529" spans="1:4" s="1" customFormat="1">
      <c r="A529" s="44">
        <v>529</v>
      </c>
      <c r="C529" s="2" t="s">
        <v>24</v>
      </c>
    </row>
    <row r="530" spans="1:4" s="1" customFormat="1">
      <c r="A530" s="44">
        <v>530</v>
      </c>
      <c r="C530" s="2" t="s">
        <v>25</v>
      </c>
    </row>
    <row r="531" spans="1:4" s="1" customFormat="1">
      <c r="A531" s="44">
        <v>531</v>
      </c>
      <c r="C531" s="2" t="s">
        <v>176</v>
      </c>
    </row>
    <row r="532" spans="1:4" s="1" customFormat="1">
      <c r="A532" s="44">
        <v>532</v>
      </c>
      <c r="C532" s="2" t="s">
        <v>8</v>
      </c>
    </row>
    <row r="533" spans="1:4" s="1" customFormat="1">
      <c r="A533" s="44">
        <v>533</v>
      </c>
      <c r="C533" s="2" t="s">
        <v>8</v>
      </c>
    </row>
    <row r="534" spans="1:4" s="1" customFormat="1">
      <c r="A534" s="44">
        <v>534</v>
      </c>
      <c r="C534" s="2" t="s">
        <v>8</v>
      </c>
    </row>
    <row r="535" spans="1:4" s="1" customFormat="1" ht="13.5" thickBot="1">
      <c r="A535" s="44">
        <v>535</v>
      </c>
      <c r="B535" s="48"/>
      <c r="C535" s="49" t="s">
        <v>8</v>
      </c>
    </row>
    <row r="536" spans="1:4" s="1" customFormat="1">
      <c r="A536" s="44">
        <v>536</v>
      </c>
      <c r="C536" s="47" t="s">
        <v>16</v>
      </c>
      <c r="D536" s="1" t="s">
        <v>178</v>
      </c>
    </row>
    <row r="537" spans="1:4" s="1" customFormat="1">
      <c r="A537" s="44">
        <v>537</v>
      </c>
      <c r="C537" s="2" t="s">
        <v>17</v>
      </c>
    </row>
    <row r="538" spans="1:4" s="1" customFormat="1">
      <c r="A538" s="44">
        <v>538</v>
      </c>
      <c r="C538" s="2" t="s">
        <v>18</v>
      </c>
    </row>
    <row r="539" spans="1:4" s="1" customFormat="1">
      <c r="A539" s="44">
        <v>539</v>
      </c>
      <c r="C539" s="2" t="s">
        <v>19</v>
      </c>
    </row>
    <row r="540" spans="1:4" s="1" customFormat="1">
      <c r="A540" s="44">
        <v>540</v>
      </c>
      <c r="C540" s="2" t="s">
        <v>20</v>
      </c>
    </row>
    <row r="541" spans="1:4" s="1" customFormat="1">
      <c r="A541" s="44">
        <v>541</v>
      </c>
      <c r="C541" s="2" t="s">
        <v>21</v>
      </c>
    </row>
    <row r="542" spans="1:4" s="1" customFormat="1">
      <c r="A542" s="44">
        <v>542</v>
      </c>
      <c r="C542" s="2" t="s">
        <v>22</v>
      </c>
    </row>
    <row r="543" spans="1:4" s="1" customFormat="1">
      <c r="A543" s="44">
        <v>543</v>
      </c>
      <c r="C543" s="2" t="s">
        <v>23</v>
      </c>
    </row>
    <row r="544" spans="1:4" s="1" customFormat="1">
      <c r="A544" s="44">
        <v>544</v>
      </c>
      <c r="C544" s="2" t="s">
        <v>24</v>
      </c>
    </row>
    <row r="545" spans="1:4" s="1" customFormat="1">
      <c r="A545" s="44">
        <v>545</v>
      </c>
      <c r="C545" s="2" t="s">
        <v>25</v>
      </c>
    </row>
    <row r="546" spans="1:4" s="1" customFormat="1">
      <c r="A546" s="44">
        <v>546</v>
      </c>
      <c r="C546" s="2" t="s">
        <v>176</v>
      </c>
    </row>
    <row r="547" spans="1:4" s="1" customFormat="1">
      <c r="A547" s="44">
        <v>547</v>
      </c>
      <c r="C547" s="2" t="s">
        <v>8</v>
      </c>
    </row>
    <row r="548" spans="1:4" s="1" customFormat="1">
      <c r="A548" s="44">
        <v>548</v>
      </c>
      <c r="C548" s="2" t="s">
        <v>8</v>
      </c>
    </row>
    <row r="549" spans="1:4" s="1" customFormat="1">
      <c r="A549" s="44">
        <v>549</v>
      </c>
      <c r="C549" s="2" t="s">
        <v>8</v>
      </c>
    </row>
    <row r="550" spans="1:4" s="1" customFormat="1" ht="13.5" thickBot="1">
      <c r="A550" s="44">
        <v>550</v>
      </c>
      <c r="B550" s="48"/>
      <c r="C550" s="49" t="s">
        <v>8</v>
      </c>
    </row>
    <row r="551" spans="1:4" s="1" customFormat="1">
      <c r="A551" s="44">
        <v>551</v>
      </c>
      <c r="C551" s="47" t="s">
        <v>16</v>
      </c>
      <c r="D551" s="1" t="s">
        <v>179</v>
      </c>
    </row>
    <row r="552" spans="1:4" s="1" customFormat="1">
      <c r="A552" s="44">
        <v>552</v>
      </c>
      <c r="C552" s="2" t="s">
        <v>17</v>
      </c>
    </row>
    <row r="553" spans="1:4" s="1" customFormat="1">
      <c r="A553" s="44">
        <v>553</v>
      </c>
      <c r="C553" s="2" t="s">
        <v>18</v>
      </c>
    </row>
    <row r="554" spans="1:4" s="1" customFormat="1">
      <c r="A554" s="44">
        <v>554</v>
      </c>
      <c r="C554" s="2" t="s">
        <v>19</v>
      </c>
    </row>
    <row r="555" spans="1:4" s="1" customFormat="1">
      <c r="A555" s="44">
        <v>555</v>
      </c>
      <c r="C555" s="2" t="s">
        <v>20</v>
      </c>
    </row>
    <row r="556" spans="1:4" s="1" customFormat="1">
      <c r="A556" s="44">
        <v>556</v>
      </c>
      <c r="C556" s="2" t="s">
        <v>21</v>
      </c>
    </row>
    <row r="557" spans="1:4" s="1" customFormat="1">
      <c r="A557" s="44">
        <v>557</v>
      </c>
      <c r="C557" s="2" t="s">
        <v>22</v>
      </c>
    </row>
    <row r="558" spans="1:4" s="1" customFormat="1">
      <c r="A558" s="44">
        <v>558</v>
      </c>
      <c r="C558" s="2" t="s">
        <v>23</v>
      </c>
    </row>
    <row r="559" spans="1:4" s="1" customFormat="1">
      <c r="A559" s="44">
        <v>559</v>
      </c>
      <c r="C559" s="2" t="s">
        <v>24</v>
      </c>
    </row>
    <row r="560" spans="1:4" s="1" customFormat="1">
      <c r="A560" s="44">
        <v>560</v>
      </c>
      <c r="C560" s="2" t="s">
        <v>25</v>
      </c>
    </row>
    <row r="561" spans="1:4" s="1" customFormat="1">
      <c r="A561" s="44">
        <v>561</v>
      </c>
      <c r="C561" s="2" t="s">
        <v>176</v>
      </c>
    </row>
    <row r="562" spans="1:4" s="1" customFormat="1">
      <c r="A562" s="44">
        <v>562</v>
      </c>
      <c r="C562" s="2" t="s">
        <v>8</v>
      </c>
    </row>
    <row r="563" spans="1:4" s="1" customFormat="1">
      <c r="A563" s="44">
        <v>563</v>
      </c>
      <c r="C563" s="2" t="s">
        <v>8</v>
      </c>
    </row>
    <row r="564" spans="1:4" s="1" customFormat="1">
      <c r="A564" s="44">
        <v>564</v>
      </c>
      <c r="C564" s="2" t="s">
        <v>8</v>
      </c>
    </row>
    <row r="565" spans="1:4" s="1" customFormat="1" ht="13.5" thickBot="1">
      <c r="A565" s="44">
        <v>565</v>
      </c>
      <c r="B565" s="48"/>
      <c r="C565" s="49" t="s">
        <v>8</v>
      </c>
    </row>
    <row r="566" spans="1:4" s="1" customFormat="1">
      <c r="A566" s="44">
        <v>566</v>
      </c>
      <c r="C566" s="47" t="s">
        <v>16</v>
      </c>
      <c r="D566" s="1" t="s">
        <v>180</v>
      </c>
    </row>
    <row r="567" spans="1:4" s="1" customFormat="1">
      <c r="A567" s="44">
        <v>567</v>
      </c>
      <c r="C567" s="2" t="s">
        <v>17</v>
      </c>
    </row>
    <row r="568" spans="1:4" s="1" customFormat="1">
      <c r="A568" s="44">
        <v>568</v>
      </c>
      <c r="C568" s="2" t="s">
        <v>18</v>
      </c>
    </row>
    <row r="569" spans="1:4" s="1" customFormat="1">
      <c r="A569" s="44">
        <v>569</v>
      </c>
      <c r="C569" s="2" t="s">
        <v>19</v>
      </c>
    </row>
    <row r="570" spans="1:4" s="1" customFormat="1">
      <c r="A570" s="44">
        <v>570</v>
      </c>
      <c r="C570" s="2" t="s">
        <v>20</v>
      </c>
    </row>
    <row r="571" spans="1:4" s="1" customFormat="1">
      <c r="A571" s="44">
        <v>571</v>
      </c>
      <c r="C571" s="2" t="s">
        <v>21</v>
      </c>
    </row>
    <row r="572" spans="1:4" s="1" customFormat="1">
      <c r="A572" s="44">
        <v>572</v>
      </c>
      <c r="C572" s="2" t="s">
        <v>22</v>
      </c>
    </row>
    <row r="573" spans="1:4" s="1" customFormat="1">
      <c r="A573" s="44">
        <v>573</v>
      </c>
      <c r="C573" s="2" t="s">
        <v>23</v>
      </c>
    </row>
    <row r="574" spans="1:4" s="1" customFormat="1">
      <c r="A574" s="44">
        <v>574</v>
      </c>
      <c r="C574" s="2" t="s">
        <v>24</v>
      </c>
    </row>
    <row r="575" spans="1:4" s="1" customFormat="1">
      <c r="A575" s="44">
        <v>575</v>
      </c>
      <c r="C575" s="2" t="s">
        <v>25</v>
      </c>
    </row>
    <row r="576" spans="1:4" s="1" customFormat="1">
      <c r="A576" s="44">
        <v>576</v>
      </c>
      <c r="C576" s="2" t="s">
        <v>176</v>
      </c>
    </row>
    <row r="577" spans="1:4" s="1" customFormat="1">
      <c r="A577" s="44">
        <v>577</v>
      </c>
      <c r="C577" s="2" t="s">
        <v>8</v>
      </c>
    </row>
    <row r="578" spans="1:4" s="1" customFormat="1">
      <c r="A578" s="44">
        <v>578</v>
      </c>
      <c r="C578" s="2" t="s">
        <v>8</v>
      </c>
    </row>
    <row r="579" spans="1:4" s="1" customFormat="1">
      <c r="A579" s="44">
        <v>579</v>
      </c>
      <c r="C579" s="2" t="s">
        <v>8</v>
      </c>
    </row>
    <row r="580" spans="1:4" s="1" customFormat="1" ht="13.5" thickBot="1">
      <c r="A580" s="44">
        <v>580</v>
      </c>
      <c r="B580" s="48"/>
      <c r="C580" s="49" t="s">
        <v>8</v>
      </c>
    </row>
    <row r="581" spans="1:4" s="1" customFormat="1">
      <c r="A581" s="44">
        <v>581</v>
      </c>
      <c r="C581" s="47" t="s">
        <v>16</v>
      </c>
      <c r="D581" s="1" t="s">
        <v>181</v>
      </c>
    </row>
    <row r="582" spans="1:4" s="1" customFormat="1">
      <c r="A582" s="44">
        <v>582</v>
      </c>
      <c r="C582" s="2" t="s">
        <v>17</v>
      </c>
    </row>
    <row r="583" spans="1:4" s="1" customFormat="1">
      <c r="A583" s="44">
        <v>583</v>
      </c>
      <c r="C583" s="2" t="s">
        <v>18</v>
      </c>
    </row>
    <row r="584" spans="1:4" s="1" customFormat="1">
      <c r="A584" s="44">
        <v>584</v>
      </c>
      <c r="C584" s="2" t="s">
        <v>19</v>
      </c>
    </row>
    <row r="585" spans="1:4" s="1" customFormat="1">
      <c r="A585" s="44">
        <v>585</v>
      </c>
      <c r="C585" s="2" t="s">
        <v>20</v>
      </c>
    </row>
    <row r="586" spans="1:4" s="1" customFormat="1">
      <c r="A586" s="44">
        <v>586</v>
      </c>
      <c r="C586" s="2" t="s">
        <v>21</v>
      </c>
    </row>
    <row r="587" spans="1:4" s="1" customFormat="1">
      <c r="A587" s="44">
        <v>587</v>
      </c>
      <c r="C587" s="2" t="s">
        <v>22</v>
      </c>
    </row>
    <row r="588" spans="1:4" s="1" customFormat="1">
      <c r="A588" s="44">
        <v>588</v>
      </c>
      <c r="C588" s="2" t="s">
        <v>23</v>
      </c>
    </row>
    <row r="589" spans="1:4" s="1" customFormat="1">
      <c r="A589" s="44">
        <v>589</v>
      </c>
      <c r="C589" s="2" t="s">
        <v>24</v>
      </c>
    </row>
    <row r="590" spans="1:4" s="1" customFormat="1">
      <c r="A590" s="44">
        <v>590</v>
      </c>
      <c r="C590" s="2" t="s">
        <v>25</v>
      </c>
    </row>
    <row r="591" spans="1:4" s="1" customFormat="1">
      <c r="A591" s="44">
        <v>591</v>
      </c>
      <c r="C591" s="2" t="s">
        <v>176</v>
      </c>
    </row>
    <row r="592" spans="1:4" s="1" customFormat="1">
      <c r="A592" s="44">
        <v>592</v>
      </c>
      <c r="C592" s="2" t="s">
        <v>8</v>
      </c>
    </row>
    <row r="593" spans="1:4" s="1" customFormat="1">
      <c r="A593" s="44">
        <v>593</v>
      </c>
      <c r="C593" s="2" t="s">
        <v>8</v>
      </c>
    </row>
    <row r="594" spans="1:4" s="1" customFormat="1">
      <c r="A594" s="44">
        <v>594</v>
      </c>
      <c r="C594" s="2" t="s">
        <v>8</v>
      </c>
    </row>
    <row r="595" spans="1:4" s="1" customFormat="1" ht="13.5" thickBot="1">
      <c r="A595" s="44">
        <v>595</v>
      </c>
      <c r="B595" s="48"/>
      <c r="C595" s="49" t="s">
        <v>8</v>
      </c>
    </row>
    <row r="596" spans="1:4" s="1" customFormat="1">
      <c r="A596" s="44">
        <v>596</v>
      </c>
      <c r="C596" s="47" t="s">
        <v>16</v>
      </c>
      <c r="D596" s="1" t="s">
        <v>182</v>
      </c>
    </row>
    <row r="597" spans="1:4" s="1" customFormat="1">
      <c r="A597" s="44">
        <v>597</v>
      </c>
      <c r="C597" s="2" t="s">
        <v>17</v>
      </c>
    </row>
    <row r="598" spans="1:4" s="1" customFormat="1">
      <c r="A598" s="44">
        <v>598</v>
      </c>
      <c r="C598" s="2" t="s">
        <v>18</v>
      </c>
    </row>
    <row r="599" spans="1:4" s="1" customFormat="1">
      <c r="A599" s="44">
        <v>599</v>
      </c>
      <c r="C599" s="2" t="s">
        <v>19</v>
      </c>
    </row>
    <row r="600" spans="1:4" s="1" customFormat="1">
      <c r="A600" s="44">
        <v>600</v>
      </c>
      <c r="C600" s="2" t="s">
        <v>20</v>
      </c>
    </row>
    <row r="601" spans="1:4" s="1" customFormat="1">
      <c r="A601" s="44">
        <v>601</v>
      </c>
      <c r="C601" s="2" t="s">
        <v>21</v>
      </c>
    </row>
    <row r="602" spans="1:4" s="1" customFormat="1">
      <c r="A602" s="44">
        <v>602</v>
      </c>
      <c r="C602" s="2" t="s">
        <v>22</v>
      </c>
    </row>
    <row r="603" spans="1:4" s="1" customFormat="1">
      <c r="A603" s="44">
        <v>603</v>
      </c>
      <c r="C603" s="2" t="s">
        <v>23</v>
      </c>
    </row>
    <row r="604" spans="1:4" s="1" customFormat="1">
      <c r="A604" s="44">
        <v>604</v>
      </c>
      <c r="C604" s="2" t="s">
        <v>24</v>
      </c>
    </row>
    <row r="605" spans="1:4" s="1" customFormat="1">
      <c r="A605" s="44">
        <v>605</v>
      </c>
      <c r="C605" s="2" t="s">
        <v>25</v>
      </c>
    </row>
    <row r="606" spans="1:4" s="1" customFormat="1">
      <c r="A606" s="44">
        <v>606</v>
      </c>
      <c r="C606" s="2" t="s">
        <v>176</v>
      </c>
    </row>
    <row r="607" spans="1:4" s="1" customFormat="1">
      <c r="A607" s="44">
        <v>607</v>
      </c>
      <c r="C607" s="2" t="s">
        <v>8</v>
      </c>
    </row>
    <row r="608" spans="1:4" s="1" customFormat="1">
      <c r="A608" s="44">
        <v>608</v>
      </c>
      <c r="C608" s="2" t="s">
        <v>8</v>
      </c>
    </row>
    <row r="609" spans="1:4" s="1" customFormat="1">
      <c r="A609" s="44">
        <v>609</v>
      </c>
      <c r="C609" s="2" t="s">
        <v>8</v>
      </c>
    </row>
    <row r="610" spans="1:4" s="1" customFormat="1" ht="13.5" thickBot="1">
      <c r="A610" s="44">
        <v>610</v>
      </c>
      <c r="B610" s="48"/>
      <c r="C610" s="49" t="s">
        <v>8</v>
      </c>
    </row>
    <row r="611" spans="1:4" s="1" customFormat="1">
      <c r="A611" s="44">
        <v>611</v>
      </c>
      <c r="C611" s="47" t="s">
        <v>16</v>
      </c>
      <c r="D611" s="1" t="s">
        <v>183</v>
      </c>
    </row>
    <row r="612" spans="1:4" s="1" customFormat="1">
      <c r="A612" s="44">
        <v>612</v>
      </c>
      <c r="C612" s="2" t="s">
        <v>17</v>
      </c>
    </row>
    <row r="613" spans="1:4" s="1" customFormat="1">
      <c r="A613" s="44">
        <v>613</v>
      </c>
      <c r="C613" s="2" t="s">
        <v>18</v>
      </c>
    </row>
    <row r="614" spans="1:4" s="1" customFormat="1">
      <c r="A614" s="44">
        <v>614</v>
      </c>
      <c r="C614" s="2" t="s">
        <v>19</v>
      </c>
    </row>
    <row r="615" spans="1:4" s="1" customFormat="1">
      <c r="A615" s="44">
        <v>615</v>
      </c>
      <c r="C615" s="2" t="s">
        <v>20</v>
      </c>
    </row>
    <row r="616" spans="1:4" s="1" customFormat="1">
      <c r="A616" s="44">
        <v>616</v>
      </c>
      <c r="C616" s="2" t="s">
        <v>21</v>
      </c>
    </row>
    <row r="617" spans="1:4" s="1" customFormat="1">
      <c r="A617" s="44">
        <v>617</v>
      </c>
      <c r="C617" s="2" t="s">
        <v>22</v>
      </c>
    </row>
    <row r="618" spans="1:4" s="1" customFormat="1">
      <c r="A618" s="44">
        <v>618</v>
      </c>
      <c r="C618" s="2" t="s">
        <v>23</v>
      </c>
    </row>
    <row r="619" spans="1:4" s="1" customFormat="1">
      <c r="A619" s="44">
        <v>619</v>
      </c>
      <c r="C619" s="2" t="s">
        <v>24</v>
      </c>
    </row>
    <row r="620" spans="1:4" s="1" customFormat="1">
      <c r="A620" s="44">
        <v>620</v>
      </c>
      <c r="C620" s="2" t="s">
        <v>25</v>
      </c>
    </row>
    <row r="621" spans="1:4" s="1" customFormat="1">
      <c r="A621" s="44">
        <v>621</v>
      </c>
      <c r="C621" s="2" t="s">
        <v>176</v>
      </c>
    </row>
    <row r="622" spans="1:4" s="1" customFormat="1">
      <c r="A622" s="44">
        <v>622</v>
      </c>
      <c r="C622" s="2" t="s">
        <v>8</v>
      </c>
    </row>
    <row r="623" spans="1:4" s="1" customFormat="1">
      <c r="A623" s="44">
        <v>623</v>
      </c>
      <c r="C623" s="2" t="s">
        <v>8</v>
      </c>
    </row>
    <row r="624" spans="1:4" s="1" customFormat="1">
      <c r="A624" s="44">
        <v>624</v>
      </c>
      <c r="C624" s="2" t="s">
        <v>8</v>
      </c>
    </row>
    <row r="625" spans="1:4" s="1" customFormat="1" ht="13.5" thickBot="1">
      <c r="A625" s="44">
        <v>625</v>
      </c>
      <c r="B625" s="48"/>
      <c r="C625" s="49" t="s">
        <v>8</v>
      </c>
    </row>
    <row r="626" spans="1:4" s="1" customFormat="1">
      <c r="A626" s="44">
        <v>626</v>
      </c>
      <c r="C626" s="47" t="s">
        <v>16</v>
      </c>
      <c r="D626" s="1" t="s">
        <v>184</v>
      </c>
    </row>
    <row r="627" spans="1:4" s="1" customFormat="1">
      <c r="A627" s="44">
        <v>627</v>
      </c>
      <c r="C627" s="2" t="s">
        <v>17</v>
      </c>
    </row>
    <row r="628" spans="1:4" s="1" customFormat="1">
      <c r="A628" s="44">
        <v>628</v>
      </c>
      <c r="C628" s="2" t="s">
        <v>18</v>
      </c>
    </row>
    <row r="629" spans="1:4" s="1" customFormat="1">
      <c r="A629" s="44">
        <v>629</v>
      </c>
      <c r="C629" s="2" t="s">
        <v>19</v>
      </c>
    </row>
    <row r="630" spans="1:4" s="1" customFormat="1">
      <c r="A630" s="44">
        <v>630</v>
      </c>
      <c r="C630" s="2" t="s">
        <v>20</v>
      </c>
    </row>
    <row r="631" spans="1:4" s="1" customFormat="1">
      <c r="A631" s="44">
        <v>631</v>
      </c>
      <c r="C631" s="2" t="s">
        <v>21</v>
      </c>
    </row>
    <row r="632" spans="1:4" s="1" customFormat="1">
      <c r="A632" s="44">
        <v>632</v>
      </c>
      <c r="C632" s="2" t="s">
        <v>22</v>
      </c>
    </row>
    <row r="633" spans="1:4" s="1" customFormat="1">
      <c r="A633" s="44">
        <v>633</v>
      </c>
      <c r="C633" s="2" t="s">
        <v>23</v>
      </c>
    </row>
    <row r="634" spans="1:4" s="1" customFormat="1">
      <c r="A634" s="44">
        <v>634</v>
      </c>
      <c r="C634" s="2" t="s">
        <v>24</v>
      </c>
    </row>
    <row r="635" spans="1:4" s="1" customFormat="1">
      <c r="A635" s="44">
        <v>635</v>
      </c>
      <c r="C635" s="2" t="s">
        <v>25</v>
      </c>
    </row>
    <row r="636" spans="1:4" s="1" customFormat="1">
      <c r="A636" s="44">
        <v>636</v>
      </c>
      <c r="C636" s="2" t="s">
        <v>176</v>
      </c>
    </row>
    <row r="637" spans="1:4" s="1" customFormat="1">
      <c r="A637" s="44">
        <v>637</v>
      </c>
      <c r="C637" s="2" t="s">
        <v>8</v>
      </c>
    </row>
    <row r="638" spans="1:4" s="1" customFormat="1">
      <c r="A638" s="44">
        <v>638</v>
      </c>
      <c r="C638" s="2" t="s">
        <v>8</v>
      </c>
    </row>
    <row r="639" spans="1:4" s="1" customFormat="1">
      <c r="A639" s="44">
        <v>639</v>
      </c>
      <c r="C639" s="2" t="s">
        <v>8</v>
      </c>
    </row>
    <row r="640" spans="1:4" s="1" customFormat="1" ht="13.5" thickBot="1">
      <c r="A640" s="44">
        <v>640</v>
      </c>
      <c r="B640" s="48"/>
      <c r="C640" s="49" t="s">
        <v>8</v>
      </c>
    </row>
    <row r="641" spans="1:4" s="1" customFormat="1">
      <c r="A641" s="44">
        <v>641</v>
      </c>
      <c r="C641" s="47" t="s">
        <v>16</v>
      </c>
      <c r="D641" s="1" t="s">
        <v>185</v>
      </c>
    </row>
    <row r="642" spans="1:4" s="1" customFormat="1">
      <c r="A642" s="44">
        <v>642</v>
      </c>
      <c r="C642" s="2" t="s">
        <v>17</v>
      </c>
    </row>
    <row r="643" spans="1:4" s="1" customFormat="1">
      <c r="A643" s="44">
        <v>643</v>
      </c>
      <c r="C643" s="2" t="s">
        <v>18</v>
      </c>
    </row>
    <row r="644" spans="1:4" s="1" customFormat="1">
      <c r="A644" s="44">
        <v>644</v>
      </c>
      <c r="C644" s="2" t="s">
        <v>19</v>
      </c>
    </row>
    <row r="645" spans="1:4" s="1" customFormat="1">
      <c r="A645" s="44">
        <v>645</v>
      </c>
      <c r="C645" s="2" t="s">
        <v>20</v>
      </c>
    </row>
    <row r="646" spans="1:4" s="1" customFormat="1">
      <c r="A646" s="44">
        <v>646</v>
      </c>
      <c r="C646" s="2" t="s">
        <v>21</v>
      </c>
    </row>
    <row r="647" spans="1:4" s="1" customFormat="1">
      <c r="A647" s="44">
        <v>647</v>
      </c>
      <c r="C647" s="2" t="s">
        <v>22</v>
      </c>
    </row>
    <row r="648" spans="1:4" s="1" customFormat="1">
      <c r="A648" s="44">
        <v>648</v>
      </c>
      <c r="C648" s="2" t="s">
        <v>23</v>
      </c>
    </row>
    <row r="649" spans="1:4" s="1" customFormat="1">
      <c r="A649" s="44">
        <v>649</v>
      </c>
      <c r="C649" s="2" t="s">
        <v>24</v>
      </c>
    </row>
    <row r="650" spans="1:4" s="1" customFormat="1">
      <c r="A650" s="44">
        <v>650</v>
      </c>
      <c r="C650" s="2" t="s">
        <v>25</v>
      </c>
    </row>
    <row r="651" spans="1:4" s="1" customFormat="1">
      <c r="A651" s="44">
        <v>651</v>
      </c>
      <c r="C651" s="2" t="s">
        <v>176</v>
      </c>
    </row>
    <row r="652" spans="1:4" s="1" customFormat="1">
      <c r="A652" s="44">
        <v>652</v>
      </c>
      <c r="C652" s="2" t="s">
        <v>8</v>
      </c>
    </row>
    <row r="653" spans="1:4" s="1" customFormat="1">
      <c r="A653" s="44">
        <v>653</v>
      </c>
      <c r="C653" s="2" t="s">
        <v>8</v>
      </c>
    </row>
    <row r="654" spans="1:4" s="1" customFormat="1">
      <c r="A654" s="44">
        <v>654</v>
      </c>
      <c r="C654" s="2" t="s">
        <v>8</v>
      </c>
    </row>
    <row r="655" spans="1:4" s="1" customFormat="1" ht="13.5" thickBot="1">
      <c r="A655" s="44">
        <v>655</v>
      </c>
      <c r="B655" s="48"/>
      <c r="C655" s="49" t="s">
        <v>8</v>
      </c>
    </row>
    <row r="656" spans="1:4" s="1" customFormat="1">
      <c r="A656" s="44">
        <v>656</v>
      </c>
      <c r="C656" s="47" t="s">
        <v>16</v>
      </c>
      <c r="D656" s="1" t="s">
        <v>186</v>
      </c>
    </row>
    <row r="657" spans="1:4" s="1" customFormat="1">
      <c r="A657" s="44">
        <v>657</v>
      </c>
      <c r="C657" s="2" t="s">
        <v>17</v>
      </c>
    </row>
    <row r="658" spans="1:4" s="1" customFormat="1">
      <c r="A658" s="44">
        <v>658</v>
      </c>
      <c r="C658" s="2" t="s">
        <v>18</v>
      </c>
    </row>
    <row r="659" spans="1:4" s="1" customFormat="1">
      <c r="A659" s="44">
        <v>659</v>
      </c>
      <c r="C659" s="2" t="s">
        <v>19</v>
      </c>
    </row>
    <row r="660" spans="1:4" s="1" customFormat="1">
      <c r="A660" s="44">
        <v>660</v>
      </c>
      <c r="C660" s="2" t="s">
        <v>20</v>
      </c>
    </row>
    <row r="661" spans="1:4" s="1" customFormat="1">
      <c r="A661" s="44">
        <v>661</v>
      </c>
      <c r="C661" s="2" t="s">
        <v>21</v>
      </c>
    </row>
    <row r="662" spans="1:4" s="1" customFormat="1">
      <c r="A662" s="44">
        <v>662</v>
      </c>
      <c r="C662" s="2" t="s">
        <v>22</v>
      </c>
    </row>
    <row r="663" spans="1:4" s="1" customFormat="1">
      <c r="A663" s="44">
        <v>663</v>
      </c>
      <c r="C663" s="2" t="s">
        <v>23</v>
      </c>
    </row>
    <row r="664" spans="1:4" s="1" customFormat="1">
      <c r="A664" s="44">
        <v>664</v>
      </c>
      <c r="C664" s="2" t="s">
        <v>24</v>
      </c>
    </row>
    <row r="665" spans="1:4" s="1" customFormat="1">
      <c r="A665" s="44">
        <v>665</v>
      </c>
      <c r="C665" s="2" t="s">
        <v>25</v>
      </c>
    </row>
    <row r="666" spans="1:4" s="1" customFormat="1">
      <c r="A666" s="44">
        <v>666</v>
      </c>
      <c r="C666" s="2" t="s">
        <v>176</v>
      </c>
    </row>
    <row r="667" spans="1:4" s="1" customFormat="1">
      <c r="A667" s="44">
        <v>667</v>
      </c>
      <c r="C667" s="2" t="s">
        <v>8</v>
      </c>
    </row>
    <row r="668" spans="1:4" s="1" customFormat="1">
      <c r="A668" s="44">
        <v>668</v>
      </c>
      <c r="C668" s="2" t="s">
        <v>8</v>
      </c>
    </row>
    <row r="669" spans="1:4" s="1" customFormat="1">
      <c r="A669" s="44">
        <v>669</v>
      </c>
      <c r="C669" s="2" t="s">
        <v>8</v>
      </c>
    </row>
    <row r="670" spans="1:4" s="1" customFormat="1" ht="13.5" thickBot="1">
      <c r="A670" s="44">
        <v>670</v>
      </c>
      <c r="B670" s="48"/>
      <c r="C670" s="49" t="s">
        <v>8</v>
      </c>
    </row>
    <row r="671" spans="1:4" s="1" customFormat="1">
      <c r="A671" s="44">
        <v>671</v>
      </c>
      <c r="C671" s="47" t="s">
        <v>16</v>
      </c>
      <c r="D671" s="1" t="s">
        <v>187</v>
      </c>
    </row>
    <row r="672" spans="1:4" s="1" customFormat="1">
      <c r="A672" s="44">
        <v>672</v>
      </c>
      <c r="C672" s="2" t="s">
        <v>17</v>
      </c>
    </row>
    <row r="673" spans="1:4" s="1" customFormat="1">
      <c r="A673" s="44">
        <v>673</v>
      </c>
      <c r="C673" s="2" t="s">
        <v>18</v>
      </c>
    </row>
    <row r="674" spans="1:4" s="1" customFormat="1">
      <c r="A674" s="44">
        <v>674</v>
      </c>
      <c r="C674" s="2" t="s">
        <v>19</v>
      </c>
    </row>
    <row r="675" spans="1:4" s="1" customFormat="1">
      <c r="A675" s="44">
        <v>675</v>
      </c>
      <c r="C675" s="2" t="s">
        <v>20</v>
      </c>
    </row>
    <row r="676" spans="1:4" s="1" customFormat="1">
      <c r="A676" s="44">
        <v>676</v>
      </c>
      <c r="C676" s="2" t="s">
        <v>21</v>
      </c>
    </row>
    <row r="677" spans="1:4" s="1" customFormat="1">
      <c r="A677" s="44">
        <v>677</v>
      </c>
      <c r="C677" s="2" t="s">
        <v>22</v>
      </c>
    </row>
    <row r="678" spans="1:4" s="1" customFormat="1">
      <c r="A678" s="44">
        <v>678</v>
      </c>
      <c r="C678" s="2" t="s">
        <v>23</v>
      </c>
    </row>
    <row r="679" spans="1:4" s="1" customFormat="1">
      <c r="A679" s="44">
        <v>679</v>
      </c>
      <c r="C679" s="2" t="s">
        <v>24</v>
      </c>
    </row>
    <row r="680" spans="1:4" s="1" customFormat="1">
      <c r="A680" s="44">
        <v>680</v>
      </c>
      <c r="C680" s="2" t="s">
        <v>25</v>
      </c>
    </row>
    <row r="681" spans="1:4" s="1" customFormat="1">
      <c r="A681" s="44">
        <v>681</v>
      </c>
      <c r="C681" s="2" t="s">
        <v>176</v>
      </c>
    </row>
    <row r="682" spans="1:4" s="1" customFormat="1">
      <c r="A682" s="44">
        <v>682</v>
      </c>
      <c r="C682" s="2" t="s">
        <v>8</v>
      </c>
    </row>
    <row r="683" spans="1:4" s="1" customFormat="1">
      <c r="A683" s="44">
        <v>683</v>
      </c>
      <c r="C683" s="2" t="s">
        <v>8</v>
      </c>
    </row>
    <row r="684" spans="1:4" s="1" customFormat="1">
      <c r="A684" s="44">
        <v>684</v>
      </c>
      <c r="C684" s="2" t="s">
        <v>8</v>
      </c>
    </row>
    <row r="685" spans="1:4" s="1" customFormat="1" ht="13.5" thickBot="1">
      <c r="A685" s="44">
        <v>685</v>
      </c>
      <c r="B685" s="48"/>
      <c r="C685" s="49" t="s">
        <v>8</v>
      </c>
    </row>
    <row r="686" spans="1:4" s="1" customFormat="1">
      <c r="A686" s="44">
        <v>686</v>
      </c>
      <c r="C686" s="47" t="s">
        <v>16</v>
      </c>
      <c r="D686" s="1" t="s">
        <v>188</v>
      </c>
    </row>
    <row r="687" spans="1:4" s="1" customFormat="1">
      <c r="A687" s="44">
        <v>687</v>
      </c>
      <c r="C687" s="2" t="s">
        <v>17</v>
      </c>
    </row>
    <row r="688" spans="1:4" s="1" customFormat="1">
      <c r="A688" s="44">
        <v>688</v>
      </c>
      <c r="C688" s="2" t="s">
        <v>18</v>
      </c>
    </row>
    <row r="689" spans="1:4" s="1" customFormat="1">
      <c r="A689" s="44">
        <v>689</v>
      </c>
      <c r="C689" s="2" t="s">
        <v>19</v>
      </c>
    </row>
    <row r="690" spans="1:4" s="1" customFormat="1">
      <c r="A690" s="44">
        <v>690</v>
      </c>
      <c r="C690" s="2" t="s">
        <v>20</v>
      </c>
    </row>
    <row r="691" spans="1:4" s="1" customFormat="1">
      <c r="A691" s="44">
        <v>691</v>
      </c>
      <c r="C691" s="2" t="s">
        <v>21</v>
      </c>
    </row>
    <row r="692" spans="1:4" s="1" customFormat="1">
      <c r="A692" s="44">
        <v>692</v>
      </c>
      <c r="C692" s="2" t="s">
        <v>22</v>
      </c>
    </row>
    <row r="693" spans="1:4" s="1" customFormat="1">
      <c r="A693" s="44">
        <v>693</v>
      </c>
      <c r="C693" s="2" t="s">
        <v>23</v>
      </c>
    </row>
    <row r="694" spans="1:4" s="1" customFormat="1">
      <c r="A694" s="44">
        <v>694</v>
      </c>
      <c r="C694" s="2" t="s">
        <v>24</v>
      </c>
    </row>
    <row r="695" spans="1:4" s="1" customFormat="1">
      <c r="A695" s="44">
        <v>695</v>
      </c>
      <c r="C695" s="2" t="s">
        <v>25</v>
      </c>
    </row>
    <row r="696" spans="1:4" s="1" customFormat="1">
      <c r="A696" s="44">
        <v>696</v>
      </c>
      <c r="C696" s="2" t="s">
        <v>176</v>
      </c>
    </row>
    <row r="697" spans="1:4" s="1" customFormat="1">
      <c r="A697" s="44">
        <v>697</v>
      </c>
      <c r="C697" s="2" t="s">
        <v>8</v>
      </c>
    </row>
    <row r="698" spans="1:4" s="1" customFormat="1">
      <c r="A698" s="44">
        <v>698</v>
      </c>
      <c r="C698" s="2" t="s">
        <v>8</v>
      </c>
    </row>
    <row r="699" spans="1:4" s="1" customFormat="1">
      <c r="A699" s="44">
        <v>699</v>
      </c>
      <c r="C699" s="2" t="s">
        <v>8</v>
      </c>
    </row>
    <row r="700" spans="1:4" s="1" customFormat="1" ht="13.5" thickBot="1">
      <c r="A700" s="44">
        <v>700</v>
      </c>
      <c r="B700" s="48"/>
      <c r="C700" s="49" t="s">
        <v>8</v>
      </c>
    </row>
    <row r="701" spans="1:4" s="1" customFormat="1">
      <c r="A701" s="44">
        <v>701</v>
      </c>
      <c r="C701" s="47" t="s">
        <v>16</v>
      </c>
      <c r="D701" s="1" t="s">
        <v>189</v>
      </c>
    </row>
    <row r="702" spans="1:4" s="1" customFormat="1">
      <c r="A702" s="44">
        <v>702</v>
      </c>
      <c r="C702" s="2" t="s">
        <v>17</v>
      </c>
    </row>
    <row r="703" spans="1:4" s="1" customFormat="1">
      <c r="A703" s="44">
        <v>703</v>
      </c>
      <c r="C703" s="2" t="s">
        <v>18</v>
      </c>
    </row>
    <row r="704" spans="1:4" s="1" customFormat="1">
      <c r="A704" s="44">
        <v>704</v>
      </c>
      <c r="C704" s="2" t="s">
        <v>19</v>
      </c>
    </row>
    <row r="705" spans="1:4" s="1" customFormat="1">
      <c r="A705" s="44">
        <v>705</v>
      </c>
      <c r="C705" s="2" t="s">
        <v>20</v>
      </c>
    </row>
    <row r="706" spans="1:4" s="1" customFormat="1">
      <c r="A706" s="44">
        <v>706</v>
      </c>
      <c r="C706" s="2" t="s">
        <v>21</v>
      </c>
    </row>
    <row r="707" spans="1:4" s="1" customFormat="1">
      <c r="A707" s="44">
        <v>707</v>
      </c>
      <c r="C707" s="2" t="s">
        <v>22</v>
      </c>
    </row>
    <row r="708" spans="1:4" s="1" customFormat="1">
      <c r="A708" s="44">
        <v>708</v>
      </c>
      <c r="C708" s="2" t="s">
        <v>23</v>
      </c>
    </row>
    <row r="709" spans="1:4" s="1" customFormat="1">
      <c r="A709" s="44">
        <v>709</v>
      </c>
      <c r="C709" s="2" t="s">
        <v>24</v>
      </c>
    </row>
    <row r="710" spans="1:4" s="1" customFormat="1">
      <c r="A710" s="44">
        <v>710</v>
      </c>
      <c r="C710" s="2" t="s">
        <v>25</v>
      </c>
    </row>
    <row r="711" spans="1:4" s="1" customFormat="1">
      <c r="A711" s="44">
        <v>711</v>
      </c>
      <c r="C711" s="2" t="s">
        <v>176</v>
      </c>
    </row>
    <row r="712" spans="1:4" s="1" customFormat="1">
      <c r="A712" s="44">
        <v>712</v>
      </c>
      <c r="C712" s="2" t="s">
        <v>8</v>
      </c>
    </row>
    <row r="713" spans="1:4" s="1" customFormat="1">
      <c r="A713" s="44">
        <v>713</v>
      </c>
      <c r="C713" s="2" t="s">
        <v>8</v>
      </c>
    </row>
    <row r="714" spans="1:4" s="1" customFormat="1">
      <c r="A714" s="44">
        <v>714</v>
      </c>
      <c r="C714" s="2" t="s">
        <v>8</v>
      </c>
    </row>
    <row r="715" spans="1:4" s="1" customFormat="1" ht="13.5" thickBot="1">
      <c r="A715" s="44">
        <v>715</v>
      </c>
      <c r="B715" s="48"/>
      <c r="C715" s="49" t="s">
        <v>8</v>
      </c>
    </row>
    <row r="716" spans="1:4" s="1" customFormat="1">
      <c r="A716" s="44">
        <v>716</v>
      </c>
      <c r="C716" s="47" t="s">
        <v>16</v>
      </c>
      <c r="D716" s="1" t="s">
        <v>190</v>
      </c>
    </row>
    <row r="717" spans="1:4" s="1" customFormat="1">
      <c r="A717" s="44">
        <v>717</v>
      </c>
      <c r="C717" s="2" t="s">
        <v>17</v>
      </c>
    </row>
    <row r="718" spans="1:4" s="1" customFormat="1">
      <c r="A718" s="44">
        <v>718</v>
      </c>
      <c r="C718" s="2" t="s">
        <v>18</v>
      </c>
    </row>
    <row r="719" spans="1:4" s="1" customFormat="1">
      <c r="A719" s="44">
        <v>719</v>
      </c>
      <c r="C719" s="2" t="s">
        <v>19</v>
      </c>
    </row>
    <row r="720" spans="1:4" s="1" customFormat="1">
      <c r="A720" s="44">
        <v>720</v>
      </c>
      <c r="C720" s="2" t="s">
        <v>20</v>
      </c>
    </row>
    <row r="721" spans="1:4" s="1" customFormat="1">
      <c r="A721" s="44">
        <v>721</v>
      </c>
      <c r="C721" s="2" t="s">
        <v>21</v>
      </c>
    </row>
    <row r="722" spans="1:4" s="1" customFormat="1">
      <c r="A722" s="44">
        <v>722</v>
      </c>
      <c r="C722" s="2" t="s">
        <v>22</v>
      </c>
    </row>
    <row r="723" spans="1:4" s="1" customFormat="1">
      <c r="A723" s="44">
        <v>723</v>
      </c>
      <c r="C723" s="2" t="s">
        <v>23</v>
      </c>
    </row>
    <row r="724" spans="1:4" s="1" customFormat="1">
      <c r="A724" s="44">
        <v>724</v>
      </c>
      <c r="C724" s="2" t="s">
        <v>24</v>
      </c>
    </row>
    <row r="725" spans="1:4" s="1" customFormat="1">
      <c r="A725" s="44">
        <v>725</v>
      </c>
      <c r="C725" s="2" t="s">
        <v>25</v>
      </c>
    </row>
    <row r="726" spans="1:4" s="1" customFormat="1">
      <c r="A726" s="44">
        <v>726</v>
      </c>
      <c r="C726" s="2" t="s">
        <v>176</v>
      </c>
    </row>
    <row r="727" spans="1:4" s="1" customFormat="1">
      <c r="A727" s="44">
        <v>727</v>
      </c>
      <c r="C727" s="2" t="s">
        <v>8</v>
      </c>
    </row>
    <row r="728" spans="1:4" s="1" customFormat="1">
      <c r="A728" s="44">
        <v>728</v>
      </c>
      <c r="C728" s="2" t="s">
        <v>8</v>
      </c>
    </row>
    <row r="729" spans="1:4" s="1" customFormat="1">
      <c r="A729" s="44">
        <v>729</v>
      </c>
      <c r="C729" s="2" t="s">
        <v>8</v>
      </c>
    </row>
    <row r="730" spans="1:4" s="1" customFormat="1" ht="13.5" thickBot="1">
      <c r="A730" s="44">
        <v>730</v>
      </c>
      <c r="B730" s="48"/>
      <c r="C730" s="49" t="s">
        <v>8</v>
      </c>
    </row>
    <row r="731" spans="1:4" s="1" customFormat="1">
      <c r="A731" s="44">
        <v>731</v>
      </c>
      <c r="C731" s="47" t="s">
        <v>16</v>
      </c>
      <c r="D731" s="1" t="s">
        <v>191</v>
      </c>
    </row>
    <row r="732" spans="1:4" s="1" customFormat="1">
      <c r="A732" s="44">
        <v>732</v>
      </c>
      <c r="C732" s="2" t="s">
        <v>17</v>
      </c>
    </row>
    <row r="733" spans="1:4" s="1" customFormat="1">
      <c r="A733" s="44">
        <v>733</v>
      </c>
      <c r="C733" s="2" t="s">
        <v>18</v>
      </c>
    </row>
    <row r="734" spans="1:4" s="1" customFormat="1">
      <c r="A734" s="44">
        <v>734</v>
      </c>
      <c r="C734" s="2" t="s">
        <v>19</v>
      </c>
    </row>
    <row r="735" spans="1:4" s="1" customFormat="1">
      <c r="A735" s="44">
        <v>735</v>
      </c>
      <c r="C735" s="2" t="s">
        <v>20</v>
      </c>
    </row>
    <row r="736" spans="1:4" s="1" customFormat="1">
      <c r="A736" s="44">
        <v>736</v>
      </c>
      <c r="C736" s="2" t="s">
        <v>21</v>
      </c>
    </row>
    <row r="737" spans="1:3" s="1" customFormat="1">
      <c r="A737" s="44">
        <v>737</v>
      </c>
      <c r="C737" s="2" t="s">
        <v>22</v>
      </c>
    </row>
    <row r="738" spans="1:3" s="1" customFormat="1">
      <c r="A738" s="44">
        <v>738</v>
      </c>
      <c r="C738" s="2" t="s">
        <v>23</v>
      </c>
    </row>
    <row r="739" spans="1:3" s="1" customFormat="1">
      <c r="A739" s="44">
        <v>739</v>
      </c>
      <c r="C739" s="2" t="s">
        <v>24</v>
      </c>
    </row>
    <row r="740" spans="1:3" s="1" customFormat="1">
      <c r="A740" s="44">
        <v>740</v>
      </c>
      <c r="C740" s="2" t="s">
        <v>25</v>
      </c>
    </row>
    <row r="741" spans="1:3" s="1" customFormat="1">
      <c r="A741" s="44">
        <v>741</v>
      </c>
      <c r="C741" s="2" t="s">
        <v>176</v>
      </c>
    </row>
    <row r="742" spans="1:3" s="1" customFormat="1">
      <c r="A742" s="44">
        <v>742</v>
      </c>
      <c r="C742" s="2" t="s">
        <v>8</v>
      </c>
    </row>
    <row r="743" spans="1:3" s="1" customFormat="1">
      <c r="A743" s="44">
        <v>743</v>
      </c>
      <c r="C743" s="2" t="s">
        <v>8</v>
      </c>
    </row>
    <row r="744" spans="1:3" s="1" customFormat="1">
      <c r="A744" s="44">
        <v>744</v>
      </c>
      <c r="C744" s="2" t="s">
        <v>8</v>
      </c>
    </row>
    <row r="745" spans="1:3" s="1" customFormat="1" ht="13.5" thickBot="1">
      <c r="A745" s="44">
        <v>745</v>
      </c>
      <c r="B745" s="48"/>
      <c r="C745" s="49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ECE09-2DB6-4358-8E34-7891865DD271}">
  <sheetPr codeName="Sheet13"/>
  <dimension ref="A1:X65"/>
  <sheetViews>
    <sheetView showGridLines="0" tabSelected="1" view="pageBreakPreview" zoomScaleNormal="100" zoomScaleSheetLayoutView="100" workbookViewId="0">
      <selection activeCell="E10" sqref="E10"/>
    </sheetView>
  </sheetViews>
  <sheetFormatPr defaultColWidth="9" defaultRowHeight="22.5" customHeight="1"/>
  <cols>
    <col min="1" max="1" width="0.7265625" style="64" customWidth="1"/>
    <col min="2" max="2" width="10.36328125" style="64" customWidth="1"/>
    <col min="3" max="3" width="12.08984375" style="64" customWidth="1"/>
    <col min="4" max="4" width="6.90625" style="66" customWidth="1"/>
    <col min="5" max="5" width="6.6328125" style="66" customWidth="1"/>
    <col min="6" max="6" width="5.6328125" style="66" customWidth="1"/>
    <col min="7" max="7" width="6" style="66" customWidth="1"/>
    <col min="8" max="12" width="5.6328125" style="64" customWidth="1"/>
    <col min="13" max="16" width="5.08984375" style="64" customWidth="1"/>
    <col min="17" max="17" width="5.26953125" style="64" customWidth="1"/>
    <col min="18" max="18" width="0.6328125" style="64" customWidth="1"/>
    <col min="19" max="19" width="5.6328125" style="64" customWidth="1"/>
    <col min="20" max="20" width="6.36328125" style="64" customWidth="1"/>
    <col min="21" max="21" width="6" style="64" customWidth="1"/>
    <col min="22" max="22" width="5.453125" style="66" customWidth="1"/>
    <col min="23" max="23" width="8.6328125" style="64" customWidth="1"/>
    <col min="24" max="24" width="1" style="64" customWidth="1"/>
    <col min="25" max="25" width="3.6328125" style="64" customWidth="1"/>
    <col min="26" max="16384" width="9" style="64"/>
  </cols>
  <sheetData>
    <row r="1" spans="1:23" ht="42" customHeight="1">
      <c r="D1" s="65" t="s">
        <v>44</v>
      </c>
      <c r="P1" s="67"/>
      <c r="W1" s="115" t="s">
        <v>366</v>
      </c>
    </row>
    <row r="2" spans="1:23" ht="20.25" customHeight="1">
      <c r="A2" s="180" t="s">
        <v>45</v>
      </c>
      <c r="B2" s="181"/>
      <c r="C2" s="182"/>
      <c r="D2" s="169" t="s">
        <v>345</v>
      </c>
      <c r="E2" s="173"/>
      <c r="F2" s="173"/>
      <c r="G2" s="173"/>
      <c r="H2" s="5"/>
      <c r="I2" s="69"/>
      <c r="J2" s="69"/>
      <c r="K2" s="170"/>
      <c r="L2" s="70" t="s">
        <v>46</v>
      </c>
      <c r="M2" s="68"/>
      <c r="N2" s="68"/>
      <c r="O2" s="69"/>
      <c r="P2" s="71" t="s">
        <v>168</v>
      </c>
      <c r="Q2" s="69"/>
      <c r="R2" s="69"/>
      <c r="S2" s="69"/>
      <c r="T2" s="5"/>
      <c r="U2" s="5"/>
      <c r="V2" s="173"/>
      <c r="W2" s="6"/>
    </row>
    <row r="3" spans="1:23" ht="20.25" customHeight="1">
      <c r="A3" s="180" t="s">
        <v>47</v>
      </c>
      <c r="B3" s="181"/>
      <c r="C3" s="182"/>
      <c r="D3" s="169" t="s">
        <v>108</v>
      </c>
      <c r="E3" s="173"/>
      <c r="F3" s="173"/>
      <c r="G3" s="173"/>
      <c r="H3" s="5"/>
      <c r="I3" s="69"/>
      <c r="J3" s="69"/>
      <c r="K3" s="170"/>
      <c r="L3" s="70" t="s">
        <v>48</v>
      </c>
      <c r="M3" s="68"/>
      <c r="N3" s="68"/>
      <c r="O3" s="69"/>
      <c r="P3" s="71" t="s">
        <v>169</v>
      </c>
      <c r="Q3" s="69"/>
      <c r="R3" s="69"/>
      <c r="S3" s="69"/>
      <c r="T3" s="72"/>
      <c r="U3" s="7"/>
      <c r="V3" s="173"/>
      <c r="W3" s="8"/>
    </row>
    <row r="4" spans="1:23" ht="20.25" customHeight="1">
      <c r="A4" s="180" t="s">
        <v>9</v>
      </c>
      <c r="B4" s="181"/>
      <c r="C4" s="182"/>
      <c r="D4" s="183" t="s">
        <v>114</v>
      </c>
      <c r="E4" s="184"/>
      <c r="F4" s="184"/>
      <c r="G4" s="184"/>
      <c r="H4" s="10"/>
      <c r="I4" s="10"/>
      <c r="J4" s="69"/>
      <c r="K4" s="170"/>
      <c r="L4" s="70" t="s">
        <v>49</v>
      </c>
      <c r="M4" s="173"/>
      <c r="N4" s="69"/>
      <c r="O4" s="69"/>
      <c r="P4" s="73" t="s">
        <v>110</v>
      </c>
      <c r="Q4" s="11" t="s">
        <v>11</v>
      </c>
      <c r="R4" s="11"/>
      <c r="S4" s="11" t="s">
        <v>50</v>
      </c>
      <c r="T4" s="12" t="s">
        <v>115</v>
      </c>
      <c r="U4" s="74" t="s">
        <v>11</v>
      </c>
      <c r="V4" s="173"/>
      <c r="W4" s="8"/>
    </row>
    <row r="5" spans="1:23" ht="20.25" customHeight="1">
      <c r="A5" s="180" t="s">
        <v>10</v>
      </c>
      <c r="B5" s="181"/>
      <c r="C5" s="182"/>
      <c r="D5" s="185" t="s">
        <v>116</v>
      </c>
      <c r="E5" s="186"/>
      <c r="F5" s="186"/>
      <c r="G5" s="173"/>
      <c r="H5" s="5"/>
      <c r="I5" s="69"/>
      <c r="J5" s="69"/>
      <c r="K5" s="170"/>
      <c r="L5" s="70" t="s">
        <v>51</v>
      </c>
      <c r="M5" s="9"/>
      <c r="N5" s="9"/>
      <c r="O5" s="69"/>
      <c r="P5" s="187" t="s">
        <v>302</v>
      </c>
      <c r="Q5" s="188"/>
      <c r="R5" s="188"/>
      <c r="S5" s="188"/>
      <c r="T5" s="188"/>
      <c r="U5" s="173"/>
      <c r="V5" s="173"/>
      <c r="W5" s="8"/>
    </row>
    <row r="6" spans="1:23" ht="20.25" customHeight="1">
      <c r="A6" s="180" t="s">
        <v>52</v>
      </c>
      <c r="B6" s="181"/>
      <c r="C6" s="182"/>
      <c r="D6" s="171" t="s">
        <v>347</v>
      </c>
      <c r="E6" s="69"/>
      <c r="F6" s="5" t="s">
        <v>53</v>
      </c>
      <c r="G6" s="172" t="s">
        <v>348</v>
      </c>
      <c r="H6" s="173" t="s">
        <v>12</v>
      </c>
      <c r="I6" s="69"/>
      <c r="J6" s="69"/>
      <c r="K6" s="170"/>
      <c r="L6" s="70" t="s">
        <v>99</v>
      </c>
      <c r="M6" s="9"/>
      <c r="N6" s="9"/>
      <c r="O6" s="69"/>
      <c r="P6" s="189" t="s">
        <v>303</v>
      </c>
      <c r="Q6" s="190"/>
      <c r="R6" s="190"/>
      <c r="S6" s="190"/>
      <c r="T6" s="190"/>
      <c r="U6" s="173"/>
      <c r="V6" s="191"/>
      <c r="W6" s="192"/>
    </row>
    <row r="7" spans="1:23" ht="8.25" customHeight="1">
      <c r="B7" s="75"/>
      <c r="C7" s="75"/>
      <c r="D7" s="76"/>
      <c r="E7" s="76"/>
      <c r="F7" s="76"/>
      <c r="G7" s="76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</row>
    <row r="8" spans="1:23" s="78" customFormat="1" ht="27" customHeight="1">
      <c r="A8" s="193" t="s">
        <v>1</v>
      </c>
      <c r="B8" s="194"/>
      <c r="C8" s="195"/>
      <c r="D8" s="63" t="s">
        <v>2</v>
      </c>
      <c r="E8" s="13" t="s">
        <v>13</v>
      </c>
      <c r="F8" s="14" t="s">
        <v>54</v>
      </c>
      <c r="G8" s="14" t="s">
        <v>55</v>
      </c>
      <c r="H8" s="63" t="s">
        <v>56</v>
      </c>
      <c r="I8" s="63" t="s">
        <v>57</v>
      </c>
      <c r="J8" s="63" t="s">
        <v>58</v>
      </c>
      <c r="K8" s="63" t="s">
        <v>59</v>
      </c>
      <c r="L8" s="63" t="s">
        <v>60</v>
      </c>
      <c r="M8" s="63" t="s">
        <v>61</v>
      </c>
      <c r="N8" s="63" t="s">
        <v>62</v>
      </c>
      <c r="O8" s="63" t="s">
        <v>63</v>
      </c>
      <c r="P8" s="63" t="s">
        <v>64</v>
      </c>
      <c r="Q8" s="63" t="s">
        <v>65</v>
      </c>
      <c r="R8" s="193" t="s">
        <v>66</v>
      </c>
      <c r="S8" s="195"/>
      <c r="T8" s="63" t="s">
        <v>67</v>
      </c>
      <c r="U8" s="63" t="s">
        <v>68</v>
      </c>
      <c r="V8" s="77" t="s">
        <v>69</v>
      </c>
      <c r="W8" s="63" t="s">
        <v>70</v>
      </c>
    </row>
    <row r="9" spans="1:23" ht="22.5" customHeight="1">
      <c r="A9" s="196" t="s">
        <v>71</v>
      </c>
      <c r="B9" s="197"/>
      <c r="C9" s="137" t="s">
        <v>125</v>
      </c>
      <c r="D9" s="79" t="s">
        <v>126</v>
      </c>
      <c r="E9" s="175" t="s">
        <v>127</v>
      </c>
      <c r="F9" s="77" t="s">
        <v>128</v>
      </c>
      <c r="G9" s="80" t="s">
        <v>309</v>
      </c>
      <c r="H9" s="109" t="s">
        <v>148</v>
      </c>
      <c r="I9" s="109" t="s">
        <v>149</v>
      </c>
      <c r="J9" s="110" t="s">
        <v>150</v>
      </c>
      <c r="K9" s="110" t="s">
        <v>151</v>
      </c>
      <c r="L9" s="110" t="s">
        <v>152</v>
      </c>
      <c r="M9" s="138"/>
      <c r="N9" s="138"/>
      <c r="O9" s="138"/>
      <c r="P9" s="138"/>
      <c r="Q9" s="138"/>
      <c r="R9" s="202" t="e">
        <f t="shared" ref="R9:R14" si="0">IF(C9&lt;&gt;"",AVERAGE(H9:L9),"")</f>
        <v>#DIV/0!</v>
      </c>
      <c r="S9" s="203"/>
      <c r="T9" s="16">
        <f>IF(C9 &lt;&gt; "",MAX(H9:L9),"")</f>
        <v>0</v>
      </c>
      <c r="U9" s="16">
        <f>IF(C9 &lt;&gt;"",MIN(H9:L9),"")</f>
        <v>0</v>
      </c>
      <c r="V9" s="81" t="str">
        <f>IF(SUM(H9:Q9)&gt;0,IF(MIN(H9:L9)&lt;G9,"NG","G"),"")</f>
        <v/>
      </c>
      <c r="W9" s="18" t="s">
        <v>170</v>
      </c>
    </row>
    <row r="10" spans="1:23" ht="22.5" customHeight="1">
      <c r="A10" s="198"/>
      <c r="B10" s="199"/>
      <c r="C10" s="15" t="s">
        <v>129</v>
      </c>
      <c r="D10" s="82" t="s">
        <v>130</v>
      </c>
      <c r="E10" s="176" t="s">
        <v>376</v>
      </c>
      <c r="F10" s="83" t="s">
        <v>131</v>
      </c>
      <c r="G10" s="83" t="s">
        <v>310</v>
      </c>
      <c r="H10" s="111" t="s">
        <v>153</v>
      </c>
      <c r="I10" s="111" t="s">
        <v>111</v>
      </c>
      <c r="J10" s="111" t="s">
        <v>113</v>
      </c>
      <c r="K10" s="111" t="s">
        <v>154</v>
      </c>
      <c r="L10" s="111" t="s">
        <v>155</v>
      </c>
      <c r="M10" s="139"/>
      <c r="N10" s="139"/>
      <c r="O10" s="139"/>
      <c r="P10" s="139"/>
      <c r="Q10" s="139"/>
      <c r="R10" s="202" t="e">
        <f t="shared" si="0"/>
        <v>#DIV/0!</v>
      </c>
      <c r="S10" s="203"/>
      <c r="T10" s="16">
        <f t="shared" ref="T10:T14" si="1">IF(C10 &lt;&gt; "",MAX(H10:L10),"")</f>
        <v>0</v>
      </c>
      <c r="U10" s="16">
        <f t="shared" ref="U10:U14" si="2">IF(C10 &lt;&gt;"",MIN(H10:L10),"")</f>
        <v>0</v>
      </c>
      <c r="V10" s="81" t="str">
        <f>IF(SUM(H10:L10)&gt;0,IF(OR(MIN(H10:L10)&lt;G10,MAX(H10:L10)&gt;F10),"NG","G"),"")</f>
        <v/>
      </c>
      <c r="W10" s="17" t="s">
        <v>171</v>
      </c>
    </row>
    <row r="11" spans="1:23" ht="22.5" customHeight="1">
      <c r="A11" s="198"/>
      <c r="B11" s="199"/>
      <c r="C11" s="39" t="s">
        <v>136</v>
      </c>
      <c r="D11" s="84" t="s">
        <v>132</v>
      </c>
      <c r="E11" s="177" t="s">
        <v>133</v>
      </c>
      <c r="F11" s="85" t="s">
        <v>134</v>
      </c>
      <c r="G11" s="85" t="s">
        <v>311</v>
      </c>
      <c r="H11" s="132" t="s">
        <v>156</v>
      </c>
      <c r="I11" s="132" t="s">
        <v>117</v>
      </c>
      <c r="J11" s="132" t="s">
        <v>118</v>
      </c>
      <c r="K11" s="132" t="s">
        <v>119</v>
      </c>
      <c r="L11" s="132" t="s">
        <v>120</v>
      </c>
      <c r="M11" s="140"/>
      <c r="N11" s="140"/>
      <c r="O11" s="140"/>
      <c r="P11" s="140"/>
      <c r="Q11" s="140"/>
      <c r="R11" s="204" t="e">
        <f t="shared" si="0"/>
        <v>#DIV/0!</v>
      </c>
      <c r="S11" s="205"/>
      <c r="T11" s="164">
        <f t="shared" si="1"/>
        <v>0</v>
      </c>
      <c r="U11" s="164">
        <f t="shared" si="2"/>
        <v>0</v>
      </c>
      <c r="V11" s="81" t="str">
        <f>IF(SUM(H11:L11)&gt;0,IF(OR(MIN(H11:L11)&lt;G11,MAX(H11:L11)&gt;F11),"NG","G"),"")</f>
        <v/>
      </c>
      <c r="W11" s="17" t="s">
        <v>172</v>
      </c>
    </row>
    <row r="12" spans="1:23" ht="22.5" customHeight="1">
      <c r="A12" s="198"/>
      <c r="B12" s="199"/>
      <c r="C12" s="15" t="s">
        <v>135</v>
      </c>
      <c r="D12" s="84" t="s">
        <v>137</v>
      </c>
      <c r="E12" s="177" t="s">
        <v>138</v>
      </c>
      <c r="F12" s="165" t="s">
        <v>139</v>
      </c>
      <c r="G12" s="165" t="s">
        <v>312</v>
      </c>
      <c r="H12" s="167" t="s">
        <v>157</v>
      </c>
      <c r="I12" s="167" t="s">
        <v>158</v>
      </c>
      <c r="J12" s="167" t="s">
        <v>159</v>
      </c>
      <c r="K12" s="167" t="s">
        <v>160</v>
      </c>
      <c r="L12" s="167" t="s">
        <v>161</v>
      </c>
      <c r="M12" s="140"/>
      <c r="N12" s="140"/>
      <c r="O12" s="140"/>
      <c r="P12" s="140"/>
      <c r="Q12" s="140"/>
      <c r="R12" s="204" t="e">
        <f t="shared" si="0"/>
        <v>#DIV/0!</v>
      </c>
      <c r="S12" s="205"/>
      <c r="T12" s="164">
        <f t="shared" si="1"/>
        <v>0</v>
      </c>
      <c r="U12" s="164">
        <f t="shared" si="2"/>
        <v>0</v>
      </c>
      <c r="V12" s="81" t="str">
        <f>IF(SUM(H12:Q12)&gt;0,IF(MAX(H12:L12)&gt;F12,"NG","G"),"")</f>
        <v/>
      </c>
      <c r="W12" s="17" t="s">
        <v>173</v>
      </c>
    </row>
    <row r="13" spans="1:23" ht="22.5" customHeight="1">
      <c r="A13" s="198"/>
      <c r="B13" s="199"/>
      <c r="C13" s="86" t="s">
        <v>140</v>
      </c>
      <c r="D13" s="84" t="s">
        <v>141</v>
      </c>
      <c r="E13" s="178" t="s">
        <v>142</v>
      </c>
      <c r="F13" s="165" t="s">
        <v>143</v>
      </c>
      <c r="G13" s="165" t="s">
        <v>313</v>
      </c>
      <c r="H13" s="167" t="s">
        <v>162</v>
      </c>
      <c r="I13" s="167" t="s">
        <v>121</v>
      </c>
      <c r="J13" s="167" t="s">
        <v>122</v>
      </c>
      <c r="K13" s="167" t="s">
        <v>123</v>
      </c>
      <c r="L13" s="167" t="s">
        <v>124</v>
      </c>
      <c r="M13" s="139"/>
      <c r="N13" s="139"/>
      <c r="O13" s="139"/>
      <c r="P13" s="139"/>
      <c r="Q13" s="139"/>
      <c r="R13" s="204" t="e">
        <f t="shared" si="0"/>
        <v>#DIV/0!</v>
      </c>
      <c r="S13" s="205"/>
      <c r="T13" s="164">
        <f t="shared" si="1"/>
        <v>0</v>
      </c>
      <c r="U13" s="164">
        <f t="shared" si="2"/>
        <v>0</v>
      </c>
      <c r="V13" s="81" t="str">
        <f>IF(SUM(H13:L13)&gt;0,IF(MIN(H13:L13)&lt;G13,"NG","G"),"")</f>
        <v/>
      </c>
      <c r="W13" s="17" t="s">
        <v>174</v>
      </c>
    </row>
    <row r="14" spans="1:23" ht="21.75" customHeight="1">
      <c r="A14" s="198"/>
      <c r="B14" s="199"/>
      <c r="C14" s="106" t="s">
        <v>144</v>
      </c>
      <c r="D14" s="107" t="s">
        <v>145</v>
      </c>
      <c r="E14" s="179" t="s">
        <v>146</v>
      </c>
      <c r="F14" s="166" t="s">
        <v>147</v>
      </c>
      <c r="G14" s="166" t="s">
        <v>314</v>
      </c>
      <c r="H14" s="112" t="s">
        <v>163</v>
      </c>
      <c r="I14" s="112" t="s">
        <v>164</v>
      </c>
      <c r="J14" s="112" t="s">
        <v>165</v>
      </c>
      <c r="K14" s="112" t="s">
        <v>166</v>
      </c>
      <c r="L14" s="112" t="s">
        <v>167</v>
      </c>
      <c r="M14" s="141"/>
      <c r="N14" s="141"/>
      <c r="O14" s="141"/>
      <c r="P14" s="141"/>
      <c r="Q14" s="141"/>
      <c r="R14" s="204" t="e">
        <f t="shared" si="0"/>
        <v>#DIV/0!</v>
      </c>
      <c r="S14" s="205"/>
      <c r="T14" s="164">
        <f t="shared" si="1"/>
        <v>0</v>
      </c>
      <c r="U14" s="164">
        <f t="shared" si="2"/>
        <v>0</v>
      </c>
      <c r="V14" s="81" t="str">
        <f>IF(SUM(H14:Q14)&gt;0,IF(MAX(H14:Q14)&gt;F14,"NG","G"),"")</f>
        <v/>
      </c>
      <c r="W14" s="112" t="s">
        <v>175</v>
      </c>
    </row>
    <row r="15" spans="1:23" ht="21.75" customHeight="1">
      <c r="A15" s="198"/>
      <c r="B15" s="199"/>
      <c r="C15" s="106"/>
      <c r="D15" s="107"/>
      <c r="E15" s="179"/>
      <c r="F15" s="113"/>
      <c r="G15" s="113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206"/>
      <c r="S15" s="207"/>
      <c r="T15" s="142"/>
      <c r="U15" s="142"/>
      <c r="V15" s="143"/>
      <c r="W15" s="144"/>
    </row>
    <row r="16" spans="1:23" ht="21.75" customHeight="1">
      <c r="A16" s="200"/>
      <c r="B16" s="201"/>
      <c r="C16" s="106"/>
      <c r="D16" s="107"/>
      <c r="E16" s="179"/>
      <c r="F16" s="113"/>
      <c r="G16" s="113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206"/>
      <c r="S16" s="207"/>
      <c r="T16" s="142"/>
      <c r="U16" s="142"/>
      <c r="V16" s="143"/>
      <c r="W16" s="144"/>
    </row>
    <row r="17" spans="1:23" ht="21.75" customHeight="1">
      <c r="A17" s="196" t="s">
        <v>349</v>
      </c>
      <c r="B17" s="197"/>
      <c r="C17" s="168" t="s">
        <v>350</v>
      </c>
      <c r="D17" s="146" t="s">
        <v>351</v>
      </c>
      <c r="E17" s="147" t="s">
        <v>352</v>
      </c>
      <c r="F17" s="148" t="s">
        <v>353</v>
      </c>
      <c r="G17" s="148" t="s">
        <v>354</v>
      </c>
      <c r="H17" s="149" t="s">
        <v>355</v>
      </c>
      <c r="I17" s="149" t="s">
        <v>356</v>
      </c>
      <c r="J17" s="149" t="s">
        <v>357</v>
      </c>
      <c r="K17" s="149" t="s">
        <v>358</v>
      </c>
      <c r="L17" s="149" t="s">
        <v>359</v>
      </c>
      <c r="M17" s="133" t="s">
        <v>360</v>
      </c>
      <c r="N17" s="133" t="s">
        <v>361</v>
      </c>
      <c r="O17" s="133" t="s">
        <v>362</v>
      </c>
      <c r="P17" s="133" t="s">
        <v>363</v>
      </c>
      <c r="Q17" s="133" t="s">
        <v>364</v>
      </c>
      <c r="R17" s="208" t="e">
        <f t="shared" ref="R17" si="3">IF(C17&lt;&gt;"",AVERAGE(H17:Q17),"")</f>
        <v>#DIV/0!</v>
      </c>
      <c r="S17" s="209"/>
      <c r="T17" s="134">
        <f t="shared" ref="T17" si="4">IF(C17 &lt;&gt; "",MAX(H17:Q17),"")</f>
        <v>0</v>
      </c>
      <c r="U17" s="134">
        <f t="shared" ref="U17" si="5">IF(C17 &lt;&gt;"",MIN(H17:Q17),"")</f>
        <v>0</v>
      </c>
      <c r="V17" s="135" t="str">
        <f t="shared" ref="V17" si="6">IF(SUM(H17:Q17)&gt;0,IF(MIN(H17:Q17)&lt;G17,"NG","G"),"")</f>
        <v/>
      </c>
      <c r="W17" s="136" t="s">
        <v>365</v>
      </c>
    </row>
    <row r="18" spans="1:23" ht="21.75" customHeight="1">
      <c r="A18" s="200"/>
      <c r="B18" s="201"/>
      <c r="C18" s="106"/>
      <c r="D18" s="108"/>
      <c r="E18" s="108"/>
      <c r="F18" s="114"/>
      <c r="G18" s="114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206"/>
      <c r="S18" s="207"/>
      <c r="T18" s="142"/>
      <c r="U18" s="142"/>
      <c r="V18" s="143"/>
      <c r="W18" s="145"/>
    </row>
    <row r="19" spans="1:23" ht="22.5" customHeight="1">
      <c r="A19" s="117"/>
      <c r="B19" s="210" t="s">
        <v>98</v>
      </c>
      <c r="C19" s="150" t="s">
        <v>318</v>
      </c>
      <c r="D19" s="151"/>
      <c r="E19" s="152"/>
      <c r="F19" s="153"/>
      <c r="G19" s="154"/>
      <c r="H19" s="19" t="s">
        <v>192</v>
      </c>
      <c r="I19" s="19" t="s">
        <v>193</v>
      </c>
      <c r="J19" s="19" t="s">
        <v>194</v>
      </c>
      <c r="K19" s="19" t="s">
        <v>195</v>
      </c>
      <c r="L19" s="19" t="s">
        <v>196</v>
      </c>
      <c r="M19" s="19" t="s">
        <v>197</v>
      </c>
      <c r="N19" s="19" t="s">
        <v>198</v>
      </c>
      <c r="O19" s="19" t="s">
        <v>199</v>
      </c>
      <c r="P19" s="19" t="s">
        <v>200</v>
      </c>
      <c r="Q19" s="19" t="s">
        <v>201</v>
      </c>
      <c r="R19" s="211"/>
      <c r="S19" s="212"/>
      <c r="T19" s="21"/>
      <c r="U19" s="21"/>
      <c r="V19" s="81" t="str">
        <f>IF(AND(H19="",I19="",J19="",K19="",L19="",M19="",N19="",O19="",P19="",Q19=""),"",IF(AND(H19="G",I19="G",J19="G",K19="G",L19="G",M19="G",N19="G",O19="G",P19="G",Q19="G"),"G","NG"))</f>
        <v>NG</v>
      </c>
      <c r="W19" s="21"/>
    </row>
    <row r="20" spans="1:23" ht="21" customHeight="1">
      <c r="A20" s="118"/>
      <c r="B20" s="210"/>
      <c r="C20" s="155" t="s">
        <v>319</v>
      </c>
      <c r="D20" s="151"/>
      <c r="E20" s="152"/>
      <c r="F20" s="153"/>
      <c r="G20" s="154"/>
      <c r="H20" s="19" t="s">
        <v>202</v>
      </c>
      <c r="I20" s="19" t="s">
        <v>203</v>
      </c>
      <c r="J20" s="19" t="s">
        <v>204</v>
      </c>
      <c r="K20" s="19" t="s">
        <v>205</v>
      </c>
      <c r="L20" s="19" t="s">
        <v>206</v>
      </c>
      <c r="M20" s="19" t="s">
        <v>207</v>
      </c>
      <c r="N20" s="19" t="s">
        <v>208</v>
      </c>
      <c r="O20" s="19" t="s">
        <v>209</v>
      </c>
      <c r="P20" s="19" t="s">
        <v>210</v>
      </c>
      <c r="Q20" s="19" t="s">
        <v>211</v>
      </c>
      <c r="R20" s="211"/>
      <c r="S20" s="212"/>
      <c r="T20" s="21"/>
      <c r="U20" s="21"/>
      <c r="V20" s="81" t="str">
        <f t="shared" ref="V20:V29" si="7">IF(AND(H20="",I20="",J20="",K20="",L20="",M20="",N20="",O20="",P20="",Q20=""),"",IF(AND(H20="G",I20="G",J20="G",K20="G",L20="G",M20="G",N20="G",O20="G",P20="G",Q20="G"),"G","NG"))</f>
        <v>NG</v>
      </c>
      <c r="W20" s="21"/>
    </row>
    <row r="21" spans="1:23" ht="22.5" customHeight="1">
      <c r="A21" s="118"/>
      <c r="B21" s="210"/>
      <c r="C21" s="155" t="s">
        <v>320</v>
      </c>
      <c r="D21" s="151"/>
      <c r="E21" s="152"/>
      <c r="F21" s="153"/>
      <c r="G21" s="154"/>
      <c r="H21" s="19" t="s">
        <v>212</v>
      </c>
      <c r="I21" s="19" t="s">
        <v>213</v>
      </c>
      <c r="J21" s="19" t="s">
        <v>214</v>
      </c>
      <c r="K21" s="19" t="s">
        <v>215</v>
      </c>
      <c r="L21" s="19" t="s">
        <v>216</v>
      </c>
      <c r="M21" s="19" t="s">
        <v>217</v>
      </c>
      <c r="N21" s="19" t="s">
        <v>218</v>
      </c>
      <c r="O21" s="19" t="s">
        <v>219</v>
      </c>
      <c r="P21" s="19" t="s">
        <v>220</v>
      </c>
      <c r="Q21" s="19" t="s">
        <v>221</v>
      </c>
      <c r="R21" s="211"/>
      <c r="S21" s="212"/>
      <c r="T21" s="21"/>
      <c r="U21" s="21"/>
      <c r="V21" s="81" t="str">
        <f t="shared" si="7"/>
        <v>NG</v>
      </c>
      <c r="W21" s="21"/>
    </row>
    <row r="22" spans="1:23" ht="22.5" customHeight="1">
      <c r="A22" s="118"/>
      <c r="B22" s="210"/>
      <c r="C22" s="150" t="s">
        <v>321</v>
      </c>
      <c r="D22" s="156"/>
      <c r="E22" s="157"/>
      <c r="F22" s="158"/>
      <c r="G22" s="159"/>
      <c r="H22" s="19" t="s">
        <v>222</v>
      </c>
      <c r="I22" s="19" t="s">
        <v>223</v>
      </c>
      <c r="J22" s="19" t="s">
        <v>224</v>
      </c>
      <c r="K22" s="19" t="s">
        <v>225</v>
      </c>
      <c r="L22" s="19" t="s">
        <v>226</v>
      </c>
      <c r="M22" s="19" t="s">
        <v>227</v>
      </c>
      <c r="N22" s="19" t="s">
        <v>228</v>
      </c>
      <c r="O22" s="19" t="s">
        <v>229</v>
      </c>
      <c r="P22" s="19" t="s">
        <v>230</v>
      </c>
      <c r="Q22" s="19" t="s">
        <v>231</v>
      </c>
      <c r="R22" s="211"/>
      <c r="S22" s="212"/>
      <c r="T22" s="20"/>
      <c r="U22" s="20"/>
      <c r="V22" s="81" t="str">
        <f t="shared" si="7"/>
        <v>NG</v>
      </c>
      <c r="W22" s="20"/>
    </row>
    <row r="23" spans="1:23" ht="22.5" customHeight="1">
      <c r="A23" s="118"/>
      <c r="B23" s="210"/>
      <c r="C23" s="150" t="s">
        <v>322</v>
      </c>
      <c r="D23" s="156"/>
      <c r="E23" s="157"/>
      <c r="F23" s="160"/>
      <c r="G23" s="159"/>
      <c r="H23" s="19" t="s">
        <v>232</v>
      </c>
      <c r="I23" s="19" t="s">
        <v>233</v>
      </c>
      <c r="J23" s="19" t="s">
        <v>234</v>
      </c>
      <c r="K23" s="19" t="s">
        <v>235</v>
      </c>
      <c r="L23" s="19" t="s">
        <v>236</v>
      </c>
      <c r="M23" s="19" t="s">
        <v>237</v>
      </c>
      <c r="N23" s="19" t="s">
        <v>238</v>
      </c>
      <c r="O23" s="19" t="s">
        <v>239</v>
      </c>
      <c r="P23" s="19" t="s">
        <v>240</v>
      </c>
      <c r="Q23" s="19" t="s">
        <v>241</v>
      </c>
      <c r="R23" s="211"/>
      <c r="S23" s="212"/>
      <c r="T23" s="20"/>
      <c r="U23" s="20"/>
      <c r="V23" s="81" t="str">
        <f t="shared" si="7"/>
        <v>NG</v>
      </c>
      <c r="W23" s="20"/>
    </row>
    <row r="24" spans="1:23" ht="22.5" customHeight="1">
      <c r="A24" s="118"/>
      <c r="B24" s="210"/>
      <c r="C24" s="150" t="s">
        <v>323</v>
      </c>
      <c r="D24" s="156"/>
      <c r="E24" s="157"/>
      <c r="F24" s="158"/>
      <c r="G24" s="159"/>
      <c r="H24" s="19" t="s">
        <v>242</v>
      </c>
      <c r="I24" s="19" t="s">
        <v>243</v>
      </c>
      <c r="J24" s="19" t="s">
        <v>244</v>
      </c>
      <c r="K24" s="19" t="s">
        <v>245</v>
      </c>
      <c r="L24" s="19" t="s">
        <v>246</v>
      </c>
      <c r="M24" s="19" t="s">
        <v>247</v>
      </c>
      <c r="N24" s="19" t="s">
        <v>248</v>
      </c>
      <c r="O24" s="19" t="s">
        <v>249</v>
      </c>
      <c r="P24" s="19" t="s">
        <v>250</v>
      </c>
      <c r="Q24" s="19" t="s">
        <v>251</v>
      </c>
      <c r="R24" s="211"/>
      <c r="S24" s="212"/>
      <c r="T24" s="87"/>
      <c r="U24" s="87"/>
      <c r="V24" s="81" t="str">
        <f t="shared" si="7"/>
        <v>NG</v>
      </c>
      <c r="W24" s="87"/>
    </row>
    <row r="25" spans="1:23" ht="22.5" customHeight="1">
      <c r="A25" s="118"/>
      <c r="B25" s="210"/>
      <c r="C25" s="150" t="s">
        <v>324</v>
      </c>
      <c r="D25" s="156"/>
      <c r="E25" s="157"/>
      <c r="F25" s="158"/>
      <c r="G25" s="159"/>
      <c r="H25" s="19" t="s">
        <v>252</v>
      </c>
      <c r="I25" s="19" t="s">
        <v>253</v>
      </c>
      <c r="J25" s="19" t="s">
        <v>254</v>
      </c>
      <c r="K25" s="19" t="s">
        <v>255</v>
      </c>
      <c r="L25" s="19" t="s">
        <v>256</v>
      </c>
      <c r="M25" s="19" t="s">
        <v>257</v>
      </c>
      <c r="N25" s="19" t="s">
        <v>258</v>
      </c>
      <c r="O25" s="19" t="s">
        <v>259</v>
      </c>
      <c r="P25" s="19" t="s">
        <v>260</v>
      </c>
      <c r="Q25" s="19" t="s">
        <v>261</v>
      </c>
      <c r="R25" s="211"/>
      <c r="S25" s="212"/>
      <c r="T25" s="20"/>
      <c r="U25" s="20"/>
      <c r="V25" s="81" t="str">
        <f t="shared" si="7"/>
        <v>NG</v>
      </c>
      <c r="W25" s="20"/>
    </row>
    <row r="26" spans="1:23" ht="22.5" customHeight="1">
      <c r="A26" s="118"/>
      <c r="B26" s="210"/>
      <c r="C26" s="150" t="s">
        <v>325</v>
      </c>
      <c r="D26" s="156"/>
      <c r="E26" s="157"/>
      <c r="F26" s="158"/>
      <c r="G26" s="159"/>
      <c r="H26" s="19" t="s">
        <v>262</v>
      </c>
      <c r="I26" s="19" t="s">
        <v>263</v>
      </c>
      <c r="J26" s="19" t="s">
        <v>264</v>
      </c>
      <c r="K26" s="19" t="s">
        <v>265</v>
      </c>
      <c r="L26" s="19" t="s">
        <v>266</v>
      </c>
      <c r="M26" s="19" t="s">
        <v>267</v>
      </c>
      <c r="N26" s="19" t="s">
        <v>268</v>
      </c>
      <c r="O26" s="19" t="s">
        <v>269</v>
      </c>
      <c r="P26" s="19" t="s">
        <v>270</v>
      </c>
      <c r="Q26" s="19" t="s">
        <v>271</v>
      </c>
      <c r="R26" s="211"/>
      <c r="S26" s="212"/>
      <c r="T26" s="20"/>
      <c r="U26" s="20"/>
      <c r="V26" s="81" t="str">
        <f t="shared" si="7"/>
        <v>NG</v>
      </c>
      <c r="W26" s="20"/>
    </row>
    <row r="27" spans="1:23" ht="22.5" customHeight="1">
      <c r="A27" s="118"/>
      <c r="B27" s="210"/>
      <c r="C27" s="161" t="s">
        <v>326</v>
      </c>
      <c r="D27" s="151"/>
      <c r="E27" s="157"/>
      <c r="F27" s="158"/>
      <c r="G27" s="159"/>
      <c r="H27" s="19" t="s">
        <v>272</v>
      </c>
      <c r="I27" s="19" t="s">
        <v>273</v>
      </c>
      <c r="J27" s="19" t="s">
        <v>274</v>
      </c>
      <c r="K27" s="19" t="s">
        <v>275</v>
      </c>
      <c r="L27" s="19" t="s">
        <v>276</v>
      </c>
      <c r="M27" s="19" t="s">
        <v>277</v>
      </c>
      <c r="N27" s="19" t="s">
        <v>278</v>
      </c>
      <c r="O27" s="19" t="s">
        <v>279</v>
      </c>
      <c r="P27" s="19" t="s">
        <v>280</v>
      </c>
      <c r="Q27" s="19" t="s">
        <v>281</v>
      </c>
      <c r="R27" s="211"/>
      <c r="S27" s="212"/>
      <c r="T27" s="20"/>
      <c r="U27" s="20"/>
      <c r="V27" s="81" t="str">
        <f t="shared" si="7"/>
        <v>NG</v>
      </c>
      <c r="W27" s="20"/>
    </row>
    <row r="28" spans="1:23" ht="22.5" customHeight="1">
      <c r="A28" s="118"/>
      <c r="B28" s="210"/>
      <c r="C28" s="155" t="s">
        <v>327</v>
      </c>
      <c r="D28" s="151"/>
      <c r="E28" s="157"/>
      <c r="F28" s="158"/>
      <c r="G28" s="159"/>
      <c r="H28" s="19" t="s">
        <v>282</v>
      </c>
      <c r="I28" s="19" t="s">
        <v>283</v>
      </c>
      <c r="J28" s="19" t="s">
        <v>284</v>
      </c>
      <c r="K28" s="19" t="s">
        <v>285</v>
      </c>
      <c r="L28" s="19" t="s">
        <v>286</v>
      </c>
      <c r="M28" s="19" t="s">
        <v>287</v>
      </c>
      <c r="N28" s="19" t="s">
        <v>288</v>
      </c>
      <c r="O28" s="19" t="s">
        <v>289</v>
      </c>
      <c r="P28" s="19" t="s">
        <v>290</v>
      </c>
      <c r="Q28" s="19" t="s">
        <v>291</v>
      </c>
      <c r="R28" s="211"/>
      <c r="S28" s="212"/>
      <c r="T28" s="20"/>
      <c r="U28" s="20"/>
      <c r="V28" s="81" t="str">
        <f t="shared" si="7"/>
        <v>NG</v>
      </c>
      <c r="W28" s="20"/>
    </row>
    <row r="29" spans="1:23" ht="22.5" customHeight="1">
      <c r="A29" s="119"/>
      <c r="B29" s="210"/>
      <c r="C29" s="155" t="s">
        <v>328</v>
      </c>
      <c r="D29" s="162"/>
      <c r="E29" s="162"/>
      <c r="F29" s="162"/>
      <c r="G29" s="163"/>
      <c r="H29" s="19" t="s">
        <v>292</v>
      </c>
      <c r="I29" s="19" t="s">
        <v>293</v>
      </c>
      <c r="J29" s="19" t="s">
        <v>294</v>
      </c>
      <c r="K29" s="19" t="s">
        <v>295</v>
      </c>
      <c r="L29" s="19" t="s">
        <v>296</v>
      </c>
      <c r="M29" s="19" t="s">
        <v>297</v>
      </c>
      <c r="N29" s="19" t="s">
        <v>298</v>
      </c>
      <c r="O29" s="19" t="s">
        <v>299</v>
      </c>
      <c r="P29" s="19" t="s">
        <v>300</v>
      </c>
      <c r="Q29" s="19" t="s">
        <v>301</v>
      </c>
      <c r="R29" s="211"/>
      <c r="S29" s="212"/>
      <c r="T29" s="20"/>
      <c r="U29" s="20"/>
      <c r="V29" s="81" t="str">
        <f t="shared" si="7"/>
        <v>NG</v>
      </c>
      <c r="W29" s="20"/>
    </row>
    <row r="30" spans="1:23" ht="17.25" customHeight="1" thickBot="1">
      <c r="A30" s="120"/>
      <c r="B30" s="121" t="s">
        <v>97</v>
      </c>
      <c r="C30" s="22"/>
      <c r="D30" s="23"/>
      <c r="E30" s="24"/>
      <c r="F30" s="24"/>
      <c r="G30" s="24"/>
      <c r="H30" s="25"/>
      <c r="I30" s="25"/>
      <c r="J30" s="25"/>
      <c r="K30" s="25"/>
      <c r="L30" s="25"/>
      <c r="M30" s="22"/>
      <c r="N30" s="22"/>
      <c r="O30" s="22"/>
      <c r="P30" s="67"/>
      <c r="Q30" s="25"/>
      <c r="R30" s="25"/>
      <c r="S30" s="67"/>
      <c r="T30" s="25"/>
      <c r="U30" s="25"/>
      <c r="V30" s="24"/>
      <c r="W30" s="26"/>
    </row>
    <row r="31" spans="1:23" ht="19.5" customHeight="1" thickBot="1">
      <c r="A31" s="88"/>
      <c r="B31" s="67"/>
      <c r="C31" s="22"/>
      <c r="D31" s="23"/>
      <c r="E31" s="24"/>
      <c r="F31" s="24"/>
      <c r="G31" s="24"/>
      <c r="H31" s="25"/>
      <c r="I31" s="25"/>
      <c r="J31" s="25"/>
      <c r="K31" s="25"/>
      <c r="L31" s="25"/>
      <c r="M31" s="22"/>
      <c r="N31" s="67"/>
      <c r="O31" s="225" t="s">
        <v>73</v>
      </c>
      <c r="P31" s="226"/>
      <c r="Q31" s="227"/>
      <c r="R31" s="228" t="s">
        <v>74</v>
      </c>
      <c r="S31" s="229"/>
      <c r="T31" s="229"/>
      <c r="U31" s="230"/>
      <c r="V31" s="89" t="s">
        <v>69</v>
      </c>
      <c r="W31" s="26"/>
    </row>
    <row r="32" spans="1:23" ht="19.5" customHeight="1">
      <c r="A32" s="88"/>
      <c r="B32" s="67"/>
      <c r="C32" s="22"/>
      <c r="D32" s="23"/>
      <c r="E32" s="24"/>
      <c r="F32" s="24"/>
      <c r="G32" s="24"/>
      <c r="H32" s="25"/>
      <c r="I32" s="25"/>
      <c r="J32" s="25"/>
      <c r="K32" s="25"/>
      <c r="L32" s="25"/>
      <c r="M32" s="22"/>
      <c r="N32" s="67"/>
      <c r="O32" s="213" t="s">
        <v>75</v>
      </c>
      <c r="P32" s="214"/>
      <c r="Q32" s="215"/>
      <c r="R32" s="216" t="s">
        <v>76</v>
      </c>
      <c r="S32" s="217"/>
      <c r="T32" s="217"/>
      <c r="U32" s="218"/>
      <c r="V32" s="27" t="s">
        <v>316</v>
      </c>
      <c r="W32" s="26"/>
    </row>
    <row r="33" spans="1:24" ht="19.5" customHeight="1">
      <c r="A33" s="88"/>
      <c r="B33" s="67"/>
      <c r="C33" s="22"/>
      <c r="D33" s="23"/>
      <c r="E33" s="24"/>
      <c r="F33" s="24"/>
      <c r="G33" s="24"/>
      <c r="H33" s="25"/>
      <c r="I33" s="25"/>
      <c r="J33" s="25"/>
      <c r="K33" s="25"/>
      <c r="L33" s="25"/>
      <c r="M33" s="22"/>
      <c r="N33" s="67"/>
      <c r="O33" s="219" t="s">
        <v>77</v>
      </c>
      <c r="P33" s="220"/>
      <c r="Q33" s="221"/>
      <c r="R33" s="222" t="s">
        <v>78</v>
      </c>
      <c r="S33" s="223"/>
      <c r="T33" s="223"/>
      <c r="U33" s="224"/>
      <c r="V33" s="27" t="s">
        <v>316</v>
      </c>
      <c r="W33" s="26"/>
    </row>
    <row r="34" spans="1:24" ht="19.5" customHeight="1">
      <c r="A34" s="88"/>
      <c r="B34" s="67"/>
      <c r="C34" s="22"/>
      <c r="D34" s="23"/>
      <c r="E34" s="24"/>
      <c r="F34" s="24"/>
      <c r="G34" s="24"/>
      <c r="H34" s="25"/>
      <c r="I34" s="25"/>
      <c r="J34" s="25"/>
      <c r="K34" s="25"/>
      <c r="L34" s="25"/>
      <c r="M34" s="22"/>
      <c r="N34" s="67"/>
      <c r="O34" s="231" t="s">
        <v>334</v>
      </c>
      <c r="P34" s="232"/>
      <c r="Q34" s="233"/>
      <c r="R34" s="240" t="s">
        <v>79</v>
      </c>
      <c r="S34" s="241"/>
      <c r="T34" s="241"/>
      <c r="U34" s="242"/>
      <c r="V34" s="27" t="s">
        <v>316</v>
      </c>
      <c r="W34" s="26"/>
    </row>
    <row r="35" spans="1:24" ht="19.5" customHeight="1">
      <c r="A35" s="88"/>
      <c r="B35" s="67"/>
      <c r="C35" s="22"/>
      <c r="D35" s="23"/>
      <c r="E35" s="24"/>
      <c r="F35" s="24"/>
      <c r="G35" s="24"/>
      <c r="H35" s="25"/>
      <c r="I35" s="25"/>
      <c r="J35" s="25"/>
      <c r="K35" s="25"/>
      <c r="L35" s="25"/>
      <c r="M35" s="22"/>
      <c r="N35" s="67"/>
      <c r="O35" s="234"/>
      <c r="P35" s="235"/>
      <c r="Q35" s="236"/>
      <c r="R35" s="243" t="s">
        <v>80</v>
      </c>
      <c r="S35" s="244"/>
      <c r="T35" s="244"/>
      <c r="U35" s="245"/>
      <c r="V35" s="27" t="s">
        <v>316</v>
      </c>
      <c r="W35" s="26"/>
    </row>
    <row r="36" spans="1:24" ht="19.5" customHeight="1" thickBot="1">
      <c r="A36" s="88"/>
      <c r="B36" s="67"/>
      <c r="C36" s="22"/>
      <c r="D36" s="23"/>
      <c r="E36" s="24"/>
      <c r="F36" s="24"/>
      <c r="G36" s="24"/>
      <c r="H36" s="25"/>
      <c r="I36" s="25"/>
      <c r="J36" s="25"/>
      <c r="K36" s="25"/>
      <c r="L36" s="25"/>
      <c r="M36" s="22"/>
      <c r="N36" s="67"/>
      <c r="O36" s="237"/>
      <c r="P36" s="238"/>
      <c r="Q36" s="239"/>
      <c r="R36" s="246" t="s">
        <v>81</v>
      </c>
      <c r="S36" s="247"/>
      <c r="T36" s="247"/>
      <c r="U36" s="248"/>
      <c r="V36" s="62" t="s">
        <v>316</v>
      </c>
      <c r="W36" s="26"/>
    </row>
    <row r="37" spans="1:24" ht="19.5" customHeight="1" thickBot="1">
      <c r="A37" s="88"/>
      <c r="B37" s="67"/>
      <c r="C37" s="22"/>
      <c r="D37" s="23"/>
      <c r="E37" s="24"/>
      <c r="F37" s="24"/>
      <c r="G37" s="24"/>
      <c r="H37" s="25"/>
      <c r="I37" s="25"/>
      <c r="J37" s="25"/>
      <c r="K37" s="25"/>
      <c r="L37" s="25"/>
      <c r="M37" s="22"/>
      <c r="N37" s="22"/>
      <c r="O37" s="22"/>
      <c r="P37" s="67"/>
      <c r="Q37" s="25"/>
      <c r="R37" s="25"/>
      <c r="S37" s="67"/>
      <c r="T37" s="25"/>
      <c r="U37" s="25"/>
      <c r="V37" s="24"/>
      <c r="W37" s="26"/>
    </row>
    <row r="38" spans="1:24" ht="3.75" customHeight="1">
      <c r="A38" s="88"/>
      <c r="B38" s="67"/>
      <c r="C38" s="22"/>
      <c r="D38" s="23"/>
      <c r="E38" s="24"/>
      <c r="F38" s="24"/>
      <c r="G38" s="24"/>
      <c r="H38" s="25"/>
      <c r="I38" s="25"/>
      <c r="J38" s="25"/>
      <c r="K38" s="25"/>
      <c r="L38" s="25"/>
      <c r="M38" s="22"/>
      <c r="N38" s="22"/>
      <c r="O38" s="249" t="s">
        <v>82</v>
      </c>
      <c r="P38" s="250"/>
      <c r="Q38" s="251"/>
      <c r="R38" s="126"/>
      <c r="S38" s="127"/>
      <c r="T38" s="128"/>
      <c r="U38" s="129"/>
      <c r="V38" s="24"/>
      <c r="W38" s="26"/>
    </row>
    <row r="39" spans="1:24" ht="26.25" customHeight="1" thickBot="1">
      <c r="A39" s="88"/>
      <c r="B39" s="67"/>
      <c r="C39" s="22"/>
      <c r="D39" s="23"/>
      <c r="E39" s="24"/>
      <c r="F39" s="24"/>
      <c r="G39" s="24"/>
      <c r="H39" s="25"/>
      <c r="I39" s="25"/>
      <c r="J39" s="25"/>
      <c r="K39" s="25"/>
      <c r="L39" s="25"/>
      <c r="M39" s="22"/>
      <c r="N39" s="22"/>
      <c r="O39" s="252"/>
      <c r="P39" s="253"/>
      <c r="Q39" s="254"/>
      <c r="R39" s="130"/>
      <c r="S39" s="255"/>
      <c r="T39" s="255"/>
      <c r="U39" s="131"/>
      <c r="V39" s="24"/>
      <c r="W39" s="26"/>
    </row>
    <row r="40" spans="1:24" ht="19.5" customHeight="1" thickBot="1">
      <c r="A40" s="90"/>
      <c r="B40" s="91"/>
      <c r="C40" s="28"/>
      <c r="D40" s="29"/>
      <c r="E40" s="30"/>
      <c r="F40" s="30"/>
      <c r="G40" s="30"/>
      <c r="H40" s="31"/>
      <c r="I40" s="31"/>
      <c r="J40" s="31"/>
      <c r="K40" s="31"/>
      <c r="L40" s="31"/>
      <c r="M40" s="28"/>
      <c r="N40" s="28"/>
      <c r="O40" s="28"/>
      <c r="P40" s="91"/>
      <c r="Q40" s="31"/>
      <c r="R40" s="31"/>
      <c r="S40" s="91"/>
      <c r="T40" s="31"/>
      <c r="U40" s="31"/>
      <c r="V40" s="30"/>
      <c r="W40" s="32"/>
    </row>
    <row r="41" spans="1:24" ht="3.75" customHeight="1" thickBot="1">
      <c r="A41" s="88"/>
      <c r="B41" s="67"/>
      <c r="C41" s="22"/>
      <c r="D41" s="23"/>
      <c r="E41" s="24"/>
      <c r="F41" s="24"/>
      <c r="G41" s="24"/>
      <c r="H41" s="25"/>
      <c r="I41" s="25"/>
      <c r="J41" s="25"/>
      <c r="K41" s="25"/>
      <c r="L41" s="25"/>
      <c r="M41" s="22"/>
      <c r="N41" s="22"/>
      <c r="O41" s="22"/>
      <c r="P41" s="67"/>
      <c r="Q41" s="25"/>
      <c r="R41" s="25"/>
      <c r="S41" s="67"/>
      <c r="T41" s="25"/>
      <c r="U41" s="25"/>
      <c r="V41" s="24"/>
      <c r="W41" s="25"/>
    </row>
    <row r="42" spans="1:24" ht="15" customHeight="1">
      <c r="A42" s="123"/>
      <c r="B42" s="256" t="s">
        <v>14</v>
      </c>
      <c r="C42" s="257"/>
      <c r="D42" s="262" t="str">
        <f>IF(AND(V36="",V35="",V34="",V33="",V32="",V29="",V28="",V27="",V26="",V25="",V24="",V23="",V22="",V21="",V20="",V19="",V17="",V16="",V15="",V14="",V13="",V12="",V11="",V10="",V9=""),"",IF(OR(V36="NG",V35="NG",V34="NG",V33="NG",V32="NG",V29="NG",V28="NG",V27="NG",V26="NG",V25="NG",V24="NG",V23="NG",V22="NG",V21="NG",V20="NG",V19="NG",V17="NG",V16="NG",V15="NG",V14="NG",V13="NG",V12="NG",V11="NG",V10="NG",V9="NG"),"NG","G"))</f>
        <v>NG</v>
      </c>
      <c r="E42" s="263"/>
      <c r="F42" s="264"/>
      <c r="G42" s="271" t="s">
        <v>4</v>
      </c>
      <c r="H42" s="272"/>
      <c r="I42" s="273"/>
      <c r="J42" s="280" t="s">
        <v>109</v>
      </c>
      <c r="K42" s="281"/>
      <c r="L42" s="281"/>
      <c r="M42" s="281"/>
      <c r="N42" s="281"/>
      <c r="O42" s="284" t="s">
        <v>70</v>
      </c>
      <c r="P42" s="285"/>
      <c r="Q42" s="298" t="s">
        <v>72</v>
      </c>
      <c r="R42" s="299"/>
      <c r="S42" s="300" t="s">
        <v>96</v>
      </c>
      <c r="T42" s="301"/>
      <c r="U42" s="301"/>
      <c r="V42" s="301"/>
      <c r="W42" s="302"/>
      <c r="X42" s="22"/>
    </row>
    <row r="43" spans="1:24" ht="15" customHeight="1">
      <c r="A43" s="88"/>
      <c r="B43" s="258"/>
      <c r="C43" s="259"/>
      <c r="D43" s="265"/>
      <c r="E43" s="266"/>
      <c r="F43" s="267"/>
      <c r="G43" s="274"/>
      <c r="H43" s="275"/>
      <c r="I43" s="276"/>
      <c r="J43" s="282"/>
      <c r="K43" s="283"/>
      <c r="L43" s="283"/>
      <c r="M43" s="283"/>
      <c r="N43" s="283"/>
      <c r="O43" s="286"/>
      <c r="P43" s="287"/>
      <c r="Q43" s="294" t="s">
        <v>95</v>
      </c>
      <c r="R43" s="295"/>
      <c r="S43" s="303" t="s">
        <v>94</v>
      </c>
      <c r="T43" s="304"/>
      <c r="U43" s="304"/>
      <c r="V43" s="304"/>
      <c r="W43" s="305"/>
      <c r="X43" s="22"/>
    </row>
    <row r="44" spans="1:24" ht="15" customHeight="1">
      <c r="A44" s="88"/>
      <c r="B44" s="258"/>
      <c r="C44" s="259"/>
      <c r="D44" s="265"/>
      <c r="E44" s="266"/>
      <c r="F44" s="267"/>
      <c r="G44" s="274"/>
      <c r="H44" s="275"/>
      <c r="I44" s="276"/>
      <c r="J44" s="282"/>
      <c r="K44" s="283"/>
      <c r="L44" s="283"/>
      <c r="M44" s="283"/>
      <c r="N44" s="283"/>
      <c r="O44" s="286"/>
      <c r="P44" s="287"/>
      <c r="Q44" s="294" t="s">
        <v>83</v>
      </c>
      <c r="R44" s="295"/>
      <c r="S44" s="33" t="s">
        <v>84</v>
      </c>
      <c r="T44" s="69"/>
      <c r="U44" s="69"/>
      <c r="V44" s="92"/>
      <c r="W44" s="34"/>
      <c r="X44" s="22"/>
    </row>
    <row r="45" spans="1:24" ht="15" customHeight="1">
      <c r="A45" s="88"/>
      <c r="B45" s="258"/>
      <c r="C45" s="259"/>
      <c r="D45" s="265"/>
      <c r="E45" s="266"/>
      <c r="F45" s="267"/>
      <c r="G45" s="274"/>
      <c r="H45" s="275"/>
      <c r="I45" s="276"/>
      <c r="J45" s="290" t="str">
        <f>CONCATENATE("*",J42,"*")</f>
        <v>*#8#*</v>
      </c>
      <c r="K45" s="291"/>
      <c r="L45" s="291"/>
      <c r="M45" s="291"/>
      <c r="N45" s="291"/>
      <c r="O45" s="286"/>
      <c r="P45" s="287"/>
      <c r="Q45" s="294" t="s">
        <v>85</v>
      </c>
      <c r="R45" s="295"/>
      <c r="S45" s="33" t="s">
        <v>86</v>
      </c>
      <c r="T45" s="69"/>
      <c r="U45" s="69"/>
      <c r="V45" s="92"/>
      <c r="W45" s="34"/>
      <c r="X45" s="22"/>
    </row>
    <row r="46" spans="1:24" ht="15" customHeight="1">
      <c r="A46" s="88"/>
      <c r="B46" s="258"/>
      <c r="C46" s="259"/>
      <c r="D46" s="265"/>
      <c r="E46" s="266"/>
      <c r="F46" s="267"/>
      <c r="G46" s="274"/>
      <c r="H46" s="275"/>
      <c r="I46" s="276"/>
      <c r="J46" s="290"/>
      <c r="K46" s="291"/>
      <c r="L46" s="291"/>
      <c r="M46" s="291"/>
      <c r="N46" s="291"/>
      <c r="O46" s="286"/>
      <c r="P46" s="287"/>
      <c r="Q46" s="294" t="s">
        <v>87</v>
      </c>
      <c r="R46" s="295"/>
      <c r="S46" s="69" t="s">
        <v>88</v>
      </c>
      <c r="T46" s="69"/>
      <c r="U46" s="69"/>
      <c r="V46" s="92"/>
      <c r="W46" s="34"/>
      <c r="X46" s="22"/>
    </row>
    <row r="47" spans="1:24" ht="15" customHeight="1" thickBot="1">
      <c r="A47" s="90"/>
      <c r="B47" s="260"/>
      <c r="C47" s="261"/>
      <c r="D47" s="268"/>
      <c r="E47" s="269"/>
      <c r="F47" s="270"/>
      <c r="G47" s="277"/>
      <c r="H47" s="278"/>
      <c r="I47" s="279"/>
      <c r="J47" s="292"/>
      <c r="K47" s="293"/>
      <c r="L47" s="293"/>
      <c r="M47" s="293"/>
      <c r="N47" s="293"/>
      <c r="O47" s="288"/>
      <c r="P47" s="289"/>
      <c r="Q47" s="296" t="s">
        <v>93</v>
      </c>
      <c r="R47" s="297"/>
      <c r="S47" s="35" t="s">
        <v>92</v>
      </c>
      <c r="T47" s="93"/>
      <c r="U47" s="93"/>
      <c r="V47" s="94"/>
      <c r="W47" s="36"/>
      <c r="X47" s="22"/>
    </row>
    <row r="48" spans="1:24" ht="17.25" customHeight="1">
      <c r="A48" s="123"/>
      <c r="B48" s="95"/>
      <c r="C48" s="122"/>
      <c r="D48" s="96"/>
      <c r="E48" s="96"/>
      <c r="F48" s="96"/>
      <c r="G48" s="96"/>
      <c r="H48" s="97"/>
      <c r="I48" s="97"/>
      <c r="J48" s="97"/>
      <c r="K48" s="97"/>
      <c r="L48" s="97"/>
      <c r="M48" s="97"/>
      <c r="N48" s="98"/>
      <c r="O48" s="38"/>
      <c r="P48" s="38"/>
      <c r="Q48" s="22"/>
      <c r="R48" s="22"/>
      <c r="S48" s="22"/>
      <c r="T48" s="22"/>
      <c r="U48" s="99"/>
      <c r="V48" s="100"/>
      <c r="W48" s="37"/>
      <c r="X48" s="22"/>
    </row>
    <row r="49" spans="1:23" ht="15.5">
      <c r="A49" s="88"/>
      <c r="B49" s="124" t="s">
        <v>89</v>
      </c>
      <c r="C49" s="67"/>
      <c r="D49" s="101"/>
      <c r="E49" s="101"/>
      <c r="F49" s="101"/>
      <c r="G49" s="101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101"/>
      <c r="W49" s="102"/>
    </row>
    <row r="50" spans="1:23" ht="11.5">
      <c r="A50" s="88"/>
      <c r="B50" s="125"/>
      <c r="C50" s="67"/>
      <c r="D50" s="101"/>
      <c r="E50" s="101"/>
      <c r="F50" s="101"/>
      <c r="G50" s="101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W50" s="102"/>
    </row>
    <row r="51" spans="1:23" ht="11.5">
      <c r="A51" s="88"/>
      <c r="B51" s="67"/>
      <c r="C51" s="67"/>
      <c r="D51" s="101"/>
      <c r="E51" s="101"/>
      <c r="F51" s="101"/>
      <c r="G51" s="101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W51" s="102"/>
    </row>
    <row r="52" spans="1:23" ht="11.5">
      <c r="A52" s="88"/>
      <c r="B52" s="67"/>
      <c r="C52" s="67"/>
      <c r="D52" s="101"/>
      <c r="E52" s="101"/>
      <c r="F52" s="101"/>
      <c r="G52" s="101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W52" s="102"/>
    </row>
    <row r="53" spans="1:23" ht="11.5">
      <c r="A53" s="88"/>
      <c r="B53" s="67"/>
      <c r="C53" s="67"/>
      <c r="D53" s="101"/>
      <c r="E53" s="101"/>
      <c r="F53" s="101"/>
      <c r="G53" s="101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W53" s="102"/>
    </row>
    <row r="54" spans="1:23" ht="11.5">
      <c r="A54" s="88"/>
      <c r="B54" s="67"/>
      <c r="C54" s="67"/>
      <c r="D54" s="101"/>
      <c r="E54" s="101"/>
      <c r="F54" s="101"/>
      <c r="G54" s="101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101"/>
      <c r="W54" s="102"/>
    </row>
    <row r="55" spans="1:23" ht="11.5">
      <c r="A55" s="88"/>
      <c r="B55" s="67"/>
      <c r="C55" s="67"/>
      <c r="D55" s="101"/>
      <c r="E55" s="101"/>
      <c r="F55" s="101"/>
      <c r="G55" s="101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101"/>
      <c r="W55" s="102"/>
    </row>
    <row r="56" spans="1:23" ht="11.5">
      <c r="A56" s="88"/>
      <c r="B56" s="67"/>
      <c r="C56" s="67"/>
      <c r="D56" s="101"/>
      <c r="E56" s="101"/>
      <c r="F56" s="101"/>
      <c r="G56" s="101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101"/>
      <c r="W56" s="102"/>
    </row>
    <row r="57" spans="1:23" ht="11.5">
      <c r="A57" s="88"/>
      <c r="B57" s="67"/>
      <c r="C57" s="67"/>
      <c r="D57" s="101"/>
      <c r="E57" s="101"/>
      <c r="F57" s="101"/>
      <c r="G57" s="101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101"/>
      <c r="W57" s="102"/>
    </row>
    <row r="58" spans="1:23" ht="11.5">
      <c r="A58" s="88"/>
      <c r="B58" s="67"/>
      <c r="C58" s="67"/>
      <c r="D58" s="101"/>
      <c r="E58" s="101"/>
      <c r="F58" s="101"/>
      <c r="G58" s="101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101"/>
      <c r="W58" s="102"/>
    </row>
    <row r="59" spans="1:23" ht="11.5">
      <c r="A59" s="88"/>
      <c r="B59" s="67"/>
      <c r="C59" s="67"/>
      <c r="D59" s="101"/>
      <c r="E59" s="101"/>
      <c r="F59" s="101"/>
      <c r="G59" s="101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101"/>
      <c r="W59" s="102"/>
    </row>
    <row r="60" spans="1:23" ht="11.5">
      <c r="A60" s="88"/>
      <c r="B60" s="67"/>
      <c r="C60" s="67"/>
      <c r="D60" s="101"/>
      <c r="E60" s="101"/>
      <c r="F60" s="101"/>
      <c r="G60" s="101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101"/>
      <c r="W60" s="102"/>
    </row>
    <row r="61" spans="1:23" ht="11.5">
      <c r="A61" s="88"/>
      <c r="B61" s="67"/>
      <c r="C61" s="67"/>
      <c r="D61" s="101"/>
      <c r="E61" s="101"/>
      <c r="F61" s="101"/>
      <c r="G61" s="101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101"/>
      <c r="W61" s="102"/>
    </row>
    <row r="62" spans="1:23" ht="11.5">
      <c r="A62" s="88"/>
      <c r="B62" s="67"/>
      <c r="C62" s="67"/>
      <c r="D62" s="101"/>
      <c r="E62" s="101"/>
      <c r="F62" s="101"/>
      <c r="G62" s="101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101"/>
      <c r="W62" s="102"/>
    </row>
    <row r="63" spans="1:23" ht="36.75" customHeight="1">
      <c r="A63" s="88"/>
      <c r="B63" s="67"/>
      <c r="C63" s="67"/>
      <c r="D63" s="101"/>
      <c r="E63" s="101"/>
      <c r="F63" s="101"/>
      <c r="G63" s="101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101"/>
      <c r="W63" s="102"/>
    </row>
    <row r="64" spans="1:23" ht="9" customHeight="1" thickBot="1">
      <c r="A64" s="90"/>
      <c r="B64" s="91"/>
      <c r="C64" s="91"/>
      <c r="D64" s="103"/>
      <c r="E64" s="103"/>
      <c r="F64" s="103"/>
      <c r="G64" s="103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103"/>
      <c r="W64" s="104"/>
    </row>
    <row r="65" spans="23:23" ht="21" customHeight="1">
      <c r="W65" s="105" t="s">
        <v>90</v>
      </c>
    </row>
  </sheetData>
  <mergeCells count="62">
    <mergeCell ref="Q45:R45"/>
    <mergeCell ref="Q46:R46"/>
    <mergeCell ref="Q47:R47"/>
    <mergeCell ref="Q42:R42"/>
    <mergeCell ref="S42:W42"/>
    <mergeCell ref="Q43:R43"/>
    <mergeCell ref="S43:W43"/>
    <mergeCell ref="Q44:R44"/>
    <mergeCell ref="B42:C47"/>
    <mergeCell ref="D42:F47"/>
    <mergeCell ref="G42:I47"/>
    <mergeCell ref="J42:N44"/>
    <mergeCell ref="O42:P47"/>
    <mergeCell ref="J45:N47"/>
    <mergeCell ref="O34:Q36"/>
    <mergeCell ref="R34:U34"/>
    <mergeCell ref="R35:U35"/>
    <mergeCell ref="R36:U36"/>
    <mergeCell ref="O38:Q39"/>
    <mergeCell ref="S39:T39"/>
    <mergeCell ref="O32:Q32"/>
    <mergeCell ref="R32:U32"/>
    <mergeCell ref="O33:Q33"/>
    <mergeCell ref="R33:U33"/>
    <mergeCell ref="O31:Q31"/>
    <mergeCell ref="R31:U31"/>
    <mergeCell ref="A17:B18"/>
    <mergeCell ref="R17:S17"/>
    <mergeCell ref="R18:S18"/>
    <mergeCell ref="B19:B29"/>
    <mergeCell ref="R19:S19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  <mergeCell ref="R29:S29"/>
    <mergeCell ref="A9:B16"/>
    <mergeCell ref="R9:S9"/>
    <mergeCell ref="R10:S10"/>
    <mergeCell ref="R11:S11"/>
    <mergeCell ref="R12:S12"/>
    <mergeCell ref="R13:S13"/>
    <mergeCell ref="R14:S14"/>
    <mergeCell ref="R15:S15"/>
    <mergeCell ref="R16:S16"/>
    <mergeCell ref="P5:T5"/>
    <mergeCell ref="A6:C6"/>
    <mergeCell ref="P6:T6"/>
    <mergeCell ref="V6:W6"/>
    <mergeCell ref="A8:C8"/>
    <mergeCell ref="R8:S8"/>
    <mergeCell ref="A2:C2"/>
    <mergeCell ref="A3:C3"/>
    <mergeCell ref="A4:C4"/>
    <mergeCell ref="D4:G4"/>
    <mergeCell ref="A5:C5"/>
    <mergeCell ref="D5:F5"/>
  </mergeCells>
  <conditionalFormatting sqref="U39 D4:G4 P4 P5:T5 T4 D6 G6">
    <cfRule type="cellIs" dxfId="7" priority="8" stopIfTrue="1" operator="notEqual">
      <formula>FALSE</formula>
    </cfRule>
  </conditionalFormatting>
  <conditionalFormatting sqref="D42:F47">
    <cfRule type="cellIs" dxfId="6" priority="6" stopIfTrue="1" operator="equal">
      <formula>"G"</formula>
    </cfRule>
    <cfRule type="cellIs" dxfId="5" priority="7" stopIfTrue="1" operator="equal">
      <formula>"NG"</formula>
    </cfRule>
  </conditionalFormatting>
  <conditionalFormatting sqref="H19:R29">
    <cfRule type="cellIs" dxfId="4" priority="5" stopIfTrue="1" operator="notEqual">
      <formula>FALSE</formula>
    </cfRule>
  </conditionalFormatting>
  <conditionalFormatting sqref="V9:V29">
    <cfRule type="cellIs" dxfId="3" priority="3" stopIfTrue="1" operator="equal">
      <formula>"NG"</formula>
    </cfRule>
    <cfRule type="cellIs" dxfId="2" priority="4" stopIfTrue="1" operator="equal">
      <formula>"G"</formula>
    </cfRule>
  </conditionalFormatting>
  <conditionalFormatting sqref="V32:V36">
    <cfRule type="cellIs" dxfId="1" priority="1" stopIfTrue="1" operator="equal">
      <formula>"NG"</formula>
    </cfRule>
    <cfRule type="cellIs" dxfId="0" priority="2" stopIfTrue="1" operator="equal">
      <formula>"G"</formula>
    </cfRule>
  </conditionalFormatting>
  <pageMargins left="0.43307086614173229" right="0.11811023622047245" top="0.35433070866141736" bottom="0.23622047244094491" header="0.15748031496062992" footer="0.11811023622047245"/>
  <pageSetup paperSize="9" scale="71" orientation="portrait" r:id="rId1"/>
  <headerFooter alignWithMargins="0">
    <oddHeader>&amp;RQ3-GT972GXR001-071</oddHeader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"/>
  <sheetData>
    <row r="1" spans="1:1">
      <c r="A1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346</v>
      </c>
    </row>
    <row r="5" spans="1:1">
      <c r="A5" t="s">
        <v>375</v>
      </c>
    </row>
    <row r="6" spans="1:1">
      <c r="A6" t="s">
        <v>367</v>
      </c>
    </row>
    <row r="7" spans="1:1">
      <c r="A7" t="s">
        <v>369</v>
      </c>
    </row>
    <row r="8" spans="1:1">
      <c r="A8" t="s">
        <v>368</v>
      </c>
    </row>
    <row r="9" spans="1:1">
      <c r="A9" t="s">
        <v>368</v>
      </c>
    </row>
    <row r="10" spans="1:1">
      <c r="A10" t="s">
        <v>370</v>
      </c>
    </row>
    <row r="11" spans="1:1">
      <c r="A11" t="s">
        <v>371</v>
      </c>
    </row>
    <row r="12" spans="1:1">
      <c r="A12" t="s">
        <v>372</v>
      </c>
    </row>
    <row r="13" spans="1:1">
      <c r="A13" t="s">
        <v>373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6"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C5F9-0EE3-4553-97FB-7CA24B87684B}">
  <sheetPr codeName="Sheet4"/>
  <dimension ref="A1"/>
  <sheetViews>
    <sheetView workbookViewId="0"/>
  </sheetViews>
  <sheetFormatPr defaultRowHeight="13"/>
  <sheetData>
    <row r="1" spans="1:1">
      <c r="A1" t="s">
        <v>374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2022-09-26T08:37:18Z</cp:lastPrinted>
  <dcterms:created xsi:type="dcterms:W3CDTF">2012-11-05T06:18:27Z</dcterms:created>
  <dcterms:modified xsi:type="dcterms:W3CDTF">2023-03-16T08:41:52Z</dcterms:modified>
</cp:coreProperties>
</file>