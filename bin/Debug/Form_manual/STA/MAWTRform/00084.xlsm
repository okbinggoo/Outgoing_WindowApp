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EE36256A-133B-4682-838A-0F88B3D80C4B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3" r:id="rId3"/>
    <sheet name="FromConfig" sheetId="62" r:id="rId4"/>
    <sheet name="FromAS400" sheetId="64" r:id="rId5"/>
    <sheet name="FromTextFileCtrl" sheetId="82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2">FORM!$A$1:$X$85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83" l="1"/>
  <c r="V38" i="83"/>
  <c r="D52" i="83" s="1"/>
  <c r="V37" i="83"/>
  <c r="V36" i="83"/>
  <c r="V35" i="83"/>
  <c r="V34" i="83"/>
  <c r="V33" i="83"/>
  <c r="V32" i="83"/>
  <c r="V31" i="83"/>
  <c r="V30" i="83"/>
  <c r="V29" i="83"/>
  <c r="V28" i="83"/>
  <c r="U28" i="83"/>
  <c r="T28" i="83"/>
  <c r="R28" i="83"/>
  <c r="V27" i="83"/>
  <c r="U27" i="83"/>
  <c r="T27" i="83"/>
  <c r="R27" i="83"/>
  <c r="V26" i="83"/>
  <c r="U26" i="83"/>
  <c r="T26" i="83"/>
  <c r="R26" i="83"/>
  <c r="V25" i="83"/>
  <c r="U25" i="83"/>
  <c r="T25" i="83"/>
  <c r="R25" i="83"/>
  <c r="V24" i="83"/>
  <c r="U24" i="83"/>
  <c r="T24" i="83"/>
  <c r="R24" i="83"/>
  <c r="V23" i="83"/>
  <c r="U23" i="83"/>
  <c r="T23" i="83"/>
  <c r="R23" i="83"/>
  <c r="V22" i="83"/>
  <c r="U22" i="83"/>
  <c r="T22" i="83"/>
  <c r="R22" i="83"/>
  <c r="V21" i="83"/>
  <c r="U21" i="83"/>
  <c r="T21" i="83"/>
  <c r="R21" i="83"/>
  <c r="V20" i="83"/>
  <c r="U20" i="83"/>
  <c r="T20" i="83"/>
  <c r="R20" i="83"/>
  <c r="V19" i="83"/>
  <c r="U19" i="83"/>
  <c r="T19" i="83"/>
  <c r="R19" i="83"/>
  <c r="V18" i="83"/>
  <c r="U18" i="83"/>
  <c r="T18" i="83"/>
  <c r="R18" i="83"/>
  <c r="V17" i="83"/>
  <c r="U17" i="83"/>
  <c r="T17" i="83"/>
  <c r="R17" i="83"/>
  <c r="V16" i="83"/>
  <c r="U16" i="83"/>
  <c r="T16" i="83"/>
  <c r="R16" i="83"/>
  <c r="V15" i="83"/>
  <c r="U15" i="83"/>
  <c r="T15" i="83"/>
  <c r="R15" i="83"/>
  <c r="V14" i="83"/>
  <c r="U14" i="83"/>
  <c r="T14" i="83"/>
  <c r="R14" i="83"/>
  <c r="V13" i="83"/>
  <c r="U13" i="83"/>
  <c r="T13" i="83"/>
  <c r="R13" i="83"/>
  <c r="V12" i="83"/>
  <c r="U12" i="83"/>
  <c r="T12" i="83"/>
  <c r="R12" i="83"/>
  <c r="V11" i="83"/>
  <c r="U11" i="83"/>
  <c r="T11" i="83"/>
  <c r="R11" i="83"/>
  <c r="V10" i="83"/>
  <c r="U10" i="83"/>
  <c r="T10" i="83"/>
  <c r="R10" i="83"/>
  <c r="V9" i="83"/>
  <c r="U9" i="83"/>
  <c r="T9" i="83"/>
  <c r="R9" i="83"/>
</calcChain>
</file>

<file path=xl/sharedStrings.xml><?xml version="1.0" encoding="utf-8"?>
<sst xmlns="http://schemas.openxmlformats.org/spreadsheetml/2006/main" count="1485" uniqueCount="615">
  <si>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</si>
  <si>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</si>
  <si>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</si>
  <si>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</si>
  <si>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</si>
  <si>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</si>
  <si>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</si>
  <si>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</si>
  <si>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</si>
  <si>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</si>
  <si>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</si>
  <si>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</si>
  <si>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</si>
  <si>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</si>
  <si>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</si>
  <si>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</si>
  <si>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</si>
  <si>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</si>
  <si>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</si>
  <si>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</si>
  <si>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</si>
  <si>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</si>
  <si>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</si>
  <si>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</si>
  <si>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</si>
  <si>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</si>
  <si>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</si>
  <si>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</si>
  <si>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</si>
  <si>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</si>
  <si>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</si>
  <si>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</si>
  <si>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</si>
  <si>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</si>
  <si>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</si>
  <si>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</si>
  <si>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</si>
  <si>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</si>
  <si>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</si>
  <si>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</si>
  <si>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</si>
  <si>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</si>
  <si>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</si>
  <si>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</si>
  <si>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</si>
  <si>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</si>
  <si>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</si>
  <si>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</si>
  <si>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</si>
  <si>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</si>
  <si>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</si>
  <si>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</si>
  <si>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</si>
  <si>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</si>
  <si>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</si>
  <si>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</si>
  <si>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</si>
  <si>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</si>
  <si>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</si>
  <si>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</si>
  <si>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</si>
  <si>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</si>
  <si>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</si>
  <si>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</si>
  <si>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</si>
  <si>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</si>
  <si>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</si>
  <si>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</si>
  <si>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</si>
  <si>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</si>
  <si>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</si>
  <si>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</si>
  <si>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</si>
  <si>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</si>
  <si>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</si>
  <si>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</si>
  <si>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</si>
  <si>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</si>
  <si>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</si>
  <si>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</si>
  <si>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</si>
  <si>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</si>
  <si>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</si>
  <si>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</si>
  <si>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</si>
  <si>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</si>
  <si>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</si>
  <si>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</si>
  <si>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</si>
  <si>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</si>
  <si>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</si>
  <si>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</si>
  <si>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</si>
  <si>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</si>
  <si>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</si>
  <si>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</si>
  <si>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</si>
  <si>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</si>
  <si>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</si>
  <si>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</si>
  <si>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</si>
  <si>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#255#</t>
  </si>
  <si>
    <t>#272#</t>
  </si>
  <si>
    <t>#273#</t>
  </si>
  <si>
    <t>#274#</t>
  </si>
  <si>
    <t>#275#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</si>
  <si>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</si>
  <si>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</si>
  <si>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</si>
  <si>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</si>
  <si>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</si>
  <si>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</si>
  <si>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</si>
  <si>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</si>
  <si>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</si>
  <si>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</si>
  <si>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</si>
  <si>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</si>
  <si>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</si>
  <si>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</si>
  <si>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</si>
  <si>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</si>
  <si>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</si>
  <si>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</si>
  <si>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</si>
  <si>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</si>
  <si>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</si>
  <si>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</si>
  <si>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</si>
  <si>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</si>
  <si>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</si>
  <si>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#229#</t>
  </si>
  <si>
    <t>#236#</t>
  </si>
  <si>
    <t>#239#</t>
  </si>
  <si>
    <t>#241#</t>
  </si>
  <si>
    <t>#251#</t>
  </si>
  <si>
    <t>#256#</t>
  </si>
  <si>
    <t>#259#</t>
  </si>
  <si>
    <t>#271#</t>
  </si>
  <si>
    <t>#286#</t>
  </si>
  <si>
    <t>#287#</t>
  </si>
  <si>
    <t>#288#</t>
  </si>
  <si>
    <t>#289#</t>
  </si>
  <si>
    <t>#290#</t>
  </si>
  <si>
    <t>#301#</t>
  </si>
  <si>
    <t>#28#</t>
  </si>
  <si>
    <t>#29#</t>
  </si>
  <si>
    <t>#39#</t>
  </si>
  <si>
    <t>#49#</t>
  </si>
  <si>
    <t>#59#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</si>
  <si>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</si>
  <si>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</si>
  <si>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</si>
  <si>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</si>
  <si>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</si>
  <si>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</si>
  <si>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</si>
  <si>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</si>
  <si>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</si>
  <si>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</si>
  <si>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</si>
  <si>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</si>
  <si>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</si>
  <si>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</si>
  <si>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</si>
  <si>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</si>
  <si>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</si>
  <si>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</si>
  <si>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</si>
  <si>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</si>
  <si>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</si>
  <si>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</si>
  <si>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</si>
  <si>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</si>
  <si>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</si>
  <si>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</si>
  <si>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</si>
  <si>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</si>
  <si>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</si>
  <si>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</si>
  <si>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</si>
  <si>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</si>
  <si>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</si>
  <si>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</si>
  <si>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</si>
  <si>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</si>
  <si>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</si>
  <si>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</si>
  <si>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</si>
  <si>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</si>
  <si>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</si>
  <si>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</si>
  <si>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</si>
  <si>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</si>
  <si>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</si>
  <si>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</si>
  <si>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</si>
  <si>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</si>
  <si>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</si>
  <si>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</si>
  <si>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</si>
  <si>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</si>
  <si>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</si>
  <si>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</si>
  <si>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</si>
  <si>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</si>
  <si>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#656#</t>
  </si>
  <si>
    <t>#661#</t>
  </si>
  <si>
    <t>#662#</t>
  </si>
  <si>
    <t>#663#</t>
  </si>
  <si>
    <t>#664#</t>
  </si>
  <si>
    <t>#665#</t>
  </si>
  <si>
    <t>#671#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</si>
  <si>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</si>
  <si>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</si>
  <si>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</si>
  <si>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</si>
  <si>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</si>
  <si>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</si>
  <si>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</si>
  <si>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</si>
  <si>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</si>
  <si>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</si>
  <si>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</si>
  <si>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</si>
  <si>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</si>
  <si>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</si>
  <si>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</si>
  <si>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</si>
  <si>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</si>
  <si>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</si>
  <si>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</si>
  <si>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</si>
  <si>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</si>
  <si>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</si>
  <si>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</si>
  <si>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</si>
  <si>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</si>
  <si>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</si>
  <si>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</si>
  <si>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</si>
  <si>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</si>
  <si>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</si>
  <si>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</si>
  <si>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</si>
  <si>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</si>
  <si>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</si>
  <si>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</si>
  <si>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</si>
  <si>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</si>
  <si>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</si>
  <si>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</si>
  <si>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</si>
  <si>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</si>
  <si>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</si>
  <si>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</si>
  <si>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</si>
  <si>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</si>
  <si>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</si>
  <si>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</si>
  <si>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#189#</t>
  </si>
  <si>
    <t>#199#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</si>
  <si>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</si>
  <si>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</si>
  <si>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</si>
  <si>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</si>
  <si>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</si>
  <si>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</si>
  <si>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</si>
  <si>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</si>
  <si>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</si>
  <si>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</si>
  <si>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</si>
  <si>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</si>
  <si>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</si>
  <si>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#209#</t>
  </si>
  <si>
    <t>#219#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</si>
  <si>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</si>
  <si>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</si>
  <si>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</si>
  <si>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</si>
  <si>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</si>
  <si>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</si>
  <si>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</si>
  <si>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</si>
  <si>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</si>
  <si>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</si>
  <si>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</si>
  <si>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</si>
  <si>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</si>
  <si>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</si>
  <si>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</si>
  <si>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</si>
  <si>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</si>
  <si>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</si>
  <si>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</si>
  <si>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</si>
  <si>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</si>
  <si>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</si>
  <si>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</si>
  <si>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</si>
  <si>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</si>
  <si>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</si>
  <si>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#19#</t>
  </si>
  <si>
    <t>Murata type 2</t>
  </si>
  <si>
    <t>Microphone Ultrasonic : Outgoing Inspection Sheet</t>
  </si>
  <si>
    <t xml:space="preserve">Confirmed :  </t>
  </si>
  <si>
    <t>+/-</t>
  </si>
  <si>
    <t>1.Electrical.</t>
  </si>
  <si>
    <t>#276#</t>
  </si>
  <si>
    <t>#277#</t>
  </si>
  <si>
    <t>#278#</t>
  </si>
  <si>
    <t>#279#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</si>
  <si>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</si>
  <si>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</si>
  <si>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</si>
  <si>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</si>
  <si>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</si>
  <si>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</si>
  <si>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</si>
  <si>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</si>
  <si>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</si>
  <si>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</si>
  <si>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</si>
  <si>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</si>
  <si>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</si>
  <si>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</si>
  <si>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</si>
  <si>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</si>
  <si>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</si>
  <si>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</si>
  <si>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</si>
  <si>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</si>
  <si>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</si>
  <si>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</si>
  <si>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</si>
  <si>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</si>
  <si>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</si>
  <si>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</si>
  <si>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</si>
  <si>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</si>
  <si>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</si>
  <si>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</si>
  <si>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</si>
  <si>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</si>
  <si>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</si>
  <si>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</si>
  <si>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</si>
  <si>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</si>
  <si>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</si>
  <si>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</si>
  <si>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</si>
  <si>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</si>
  <si>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</si>
  <si>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</si>
  <si>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</si>
  <si>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</si>
  <si>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</si>
  <si>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</si>
  <si>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</si>
  <si>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</si>
  <si>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</si>
  <si>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</si>
  <si>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</si>
  <si>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</si>
  <si>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</si>
  <si>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</si>
  <si>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#249#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</si>
  <si>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</si>
  <si>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</si>
  <si>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</si>
  <si>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</si>
  <si>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</si>
  <si>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</si>
  <si>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</si>
  <si>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</si>
  <si>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</si>
  <si>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</si>
  <si>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</si>
  <si>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#670#</t>
  </si>
  <si>
    <t>#686#</t>
  </si>
  <si>
    <t>#682#</t>
  </si>
  <si>
    <t>#683#</t>
  </si>
  <si>
    <t>#684#</t>
  </si>
  <si>
    <t>#685#</t>
  </si>
  <si>
    <t>#701#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</si>
  <si>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</si>
  <si>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</si>
  <si>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</si>
  <si>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</si>
  <si>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</si>
  <si>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</si>
  <si>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</si>
  <si>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</si>
  <si>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#699#</t>
  </si>
  <si>
    <t>#700#</t>
  </si>
  <si>
    <t>#716#</t>
  </si>
  <si>
    <t>#706#</t>
  </si>
  <si>
    <t>#707#</t>
  </si>
  <si>
    <t>#708#</t>
  </si>
  <si>
    <t>#709#</t>
  </si>
  <si>
    <t>#710#</t>
  </si>
  <si>
    <t>#711#</t>
  </si>
  <si>
    <t>#712#</t>
  </si>
  <si>
    <t>#713#</t>
  </si>
  <si>
    <t>#714#</t>
  </si>
  <si>
    <t>#715#</t>
  </si>
  <si>
    <t>#731#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</si>
  <si>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</si>
  <si>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</si>
  <si>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</si>
  <si>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</si>
  <si>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</si>
  <si>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</si>
  <si>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</si>
  <si>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</si>
  <si>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#729#</t>
  </si>
  <si>
    <t>#730#</t>
  </si>
  <si>
    <t>#746#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</si>
  <si>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</si>
  <si>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</si>
  <si>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</si>
  <si>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</si>
  <si>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</si>
  <si>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</si>
  <si>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</si>
  <si>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</si>
  <si>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#744#</t>
  </si>
  <si>
    <t>#745#</t>
  </si>
  <si>
    <t>#761#</t>
  </si>
  <si>
    <t>#751#</t>
  </si>
  <si>
    <t>#752#</t>
  </si>
  <si>
    <t>#753#</t>
  </si>
  <si>
    <t>#754#</t>
  </si>
  <si>
    <t>#755#</t>
  </si>
  <si>
    <t>#756#</t>
  </si>
  <si>
    <t>#757#</t>
  </si>
  <si>
    <t>#758#</t>
  </si>
  <si>
    <t>#759#</t>
  </si>
  <si>
    <t>#760#</t>
  </si>
  <si>
    <t>#776#</t>
  </si>
  <si>
    <t>#766#</t>
  </si>
  <si>
    <t>#767#</t>
  </si>
  <si>
    <t>#768#</t>
  </si>
  <si>
    <t>#769#</t>
  </si>
  <si>
    <t>#770#</t>
  </si>
  <si>
    <t>#771#</t>
  </si>
  <si>
    <t>#772#</t>
  </si>
  <si>
    <t>#773#</t>
  </si>
  <si>
    <t>#774#</t>
  </si>
  <si>
    <t>#775#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</si>
  <si>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</si>
  <si>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</si>
  <si>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</si>
  <si>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</si>
  <si>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</si>
  <si>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</si>
  <si>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</si>
  <si>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</si>
  <si>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</si>
  <si>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</si>
  <si>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</si>
  <si>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</si>
  <si>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</si>
  <si>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</si>
  <si>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</si>
  <si>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</si>
  <si>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</si>
  <si>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</si>
  <si>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</si>
  <si>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</si>
  <si>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</si>
  <si>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</si>
  <si>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</si>
  <si>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</si>
  <si>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</si>
  <si>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</si>
  <si>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</si>
  <si>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</si>
  <si>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</si>
  <si>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</si>
  <si>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</si>
  <si>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</si>
  <si>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</si>
  <si>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</si>
  <si>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</si>
  <si>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</si>
  <si>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</si>
  <si>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</si>
  <si>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</si>
  <si>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</si>
  <si>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</si>
  <si>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</si>
  <si>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</si>
  <si>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</si>
  <si>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</si>
  <si>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</si>
  <si>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</si>
  <si>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</si>
  <si>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</si>
  <si>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#280#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</si>
  <si>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</si>
  <si>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</si>
  <si>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</si>
  <si>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</si>
  <si>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</si>
  <si>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</si>
  <si>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</si>
  <si>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</si>
  <si>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</si>
  <si>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</si>
  <si>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</si>
  <si>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</si>
  <si>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</si>
  <si>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</si>
  <si>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</si>
  <si>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</si>
  <si>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</si>
  <si>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</si>
  <si>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</si>
  <si>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</si>
  <si>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</si>
  <si>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</si>
  <si>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</si>
  <si>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</si>
  <si>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</si>
  <si>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</si>
  <si>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</si>
  <si>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</si>
  <si>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</si>
  <si>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</si>
  <si>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</si>
  <si>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</si>
  <si>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</si>
  <si>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</si>
  <si>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</si>
  <si>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</si>
  <si>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</si>
  <si>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</si>
  <si>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</si>
  <si>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</si>
  <si>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</si>
  <si>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</si>
  <si>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</si>
  <si>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</si>
  <si>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</si>
  <si>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</si>
  <si>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</si>
  <si>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</si>
  <si>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</si>
  <si>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</si>
  <si>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</si>
  <si>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</si>
  <si>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</si>
  <si>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</si>
  <si>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</si>
  <si>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</si>
  <si>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</si>
  <si>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</si>
  <si>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</si>
  <si>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</si>
  <si>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#69#</t>
  </si>
  <si>
    <t>#79#</t>
  </si>
  <si>
    <t>#89#</t>
  </si>
  <si>
    <t>#99#</t>
  </si>
  <si>
    <t>#109#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</si>
  <si>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</si>
  <si>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</si>
  <si>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</si>
  <si>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</si>
  <si>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</si>
  <si>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</si>
  <si>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</si>
  <si>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</si>
  <si>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</si>
  <si>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</si>
  <si>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</si>
  <si>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</si>
  <si>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#791#</t>
  </si>
  <si>
    <t>#781#</t>
  </si>
  <si>
    <t>#782#</t>
  </si>
  <si>
    <t>#783#</t>
  </si>
  <si>
    <t>#784#</t>
  </si>
  <si>
    <t>#785#</t>
  </si>
  <si>
    <t>#786#</t>
  </si>
  <si>
    <t>#787#</t>
  </si>
  <si>
    <t>#788#</t>
  </si>
  <si>
    <t>#789#</t>
  </si>
  <si>
    <t>#790#</t>
  </si>
  <si>
    <t>#8#</t>
  </si>
  <si>
    <t>#179#</t>
  </si>
  <si>
    <t>#16#</t>
  </si>
  <si>
    <t>DG</t>
  </si>
  <si>
    <t>Digimatic Indicator</t>
  </si>
  <si>
    <t>Jig</t>
  </si>
  <si>
    <t>MS</t>
  </si>
  <si>
    <t>MC</t>
  </si>
  <si>
    <t>Micrometer</t>
  </si>
  <si>
    <t>VS</t>
  </si>
  <si>
    <t>Visual</t>
  </si>
  <si>
    <t>FR</t>
  </si>
  <si>
    <t>SR</t>
  </si>
  <si>
    <t>Scale Ruler</t>
  </si>
  <si>
    <t>VC</t>
  </si>
  <si>
    <t>Jig1</t>
  </si>
  <si>
    <t>Shocket</t>
  </si>
  <si>
    <t>Jig2</t>
  </si>
  <si>
    <t>Internal pin</t>
  </si>
  <si>
    <t>Jig3</t>
  </si>
  <si>
    <t>Retainer</t>
  </si>
  <si>
    <t>Microscope</t>
  </si>
  <si>
    <t>Frequency Machine</t>
  </si>
  <si>
    <t>Vernier Caliper</t>
  </si>
  <si>
    <t>#177#</t>
  </si>
  <si>
    <t>LCLW009LG_B21202684S824163TS2907051;MMC/TM22;1;20220908;TM22R0015;PKGX0006-02;S824163;XX1;PKGX0006-02;XX2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</si>
</sst>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b/>
      <sz val="12"/>
      <color indexed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3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11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7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31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32" applyNumberFormat="0" applyFont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6" fillId="0" borderId="0"/>
    <xf numFmtId="0" fontId="29" fillId="9" borderId="34" applyNumberFormat="0" applyAlignment="0" applyProtection="0">
      <alignment vertical="center"/>
    </xf>
    <xf numFmtId="0" fontId="30" fillId="20" borderId="35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5" fillId="0" borderId="37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34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9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43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28" xfId="0" applyFill="1" applyBorder="1"/>
    <xf numFmtId="0" fontId="0" fillId="22" borderId="29" xfId="0" applyFill="1" applyBorder="1"/>
    <xf numFmtId="0" fontId="0" fillId="23" borderId="7" xfId="0" applyFill="1" applyBorder="1"/>
    <xf numFmtId="0" fontId="0" fillId="23" borderId="0" xfId="0" applyFill="1"/>
    <xf numFmtId="0" fontId="0" fillId="23" borderId="29" xfId="0" applyFill="1" applyBorder="1"/>
    <xf numFmtId="0" fontId="0" fillId="2" borderId="29" xfId="0" applyFill="1" applyBorder="1"/>
    <xf numFmtId="0" fontId="0" fillId="2" borderId="17" xfId="0" applyFill="1" applyBorder="1"/>
    <xf numFmtId="0" fontId="0" fillId="2" borderId="28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17" xfId="0" applyFill="1" applyBorder="1"/>
    <xf numFmtId="0" fontId="0" fillId="24" borderId="7" xfId="0" applyFill="1" applyBorder="1"/>
    <xf numFmtId="0" fontId="0" fillId="24" borderId="0" xfId="0" applyFill="1"/>
    <xf numFmtId="0" fontId="0" fillId="24" borderId="17" xfId="0" applyFill="1" applyBorder="1"/>
    <xf numFmtId="0" fontId="0" fillId="23" borderId="28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9" xfId="0" applyFill="1" applyBorder="1"/>
    <xf numFmtId="0" fontId="0" fillId="25" borderId="0" xfId="0" applyFill="1"/>
    <xf numFmtId="0" fontId="0" fillId="25" borderId="28" xfId="0" applyFill="1" applyBorder="1"/>
    <xf numFmtId="49" fontId="0" fillId="2" borderId="0" xfId="0" applyNumberFormat="1" applyFill="1"/>
    <xf numFmtId="0" fontId="8" fillId="26" borderId="1" xfId="110" applyFont="1" applyFill="1" applyBorder="1" applyAlignment="1">
      <alignment horizontal="center" vertical="center"/>
    </xf>
    <xf numFmtId="0" fontId="0" fillId="27" borderId="0" xfId="0" applyFill="1"/>
    <xf numFmtId="0" fontId="0" fillId="27" borderId="7" xfId="0" applyFill="1" applyBorder="1"/>
    <xf numFmtId="0" fontId="0" fillId="27" borderId="55" xfId="0" applyFill="1" applyBorder="1"/>
    <xf numFmtId="0" fontId="0" fillId="27" borderId="28" xfId="0" applyFill="1" applyBorder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40" fillId="0" borderId="0" xfId="145" applyFont="1" applyAlignment="1">
      <alignment horizontal="left"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59" fillId="0" borderId="4" xfId="145" applyFont="1" applyBorder="1" applyAlignment="1">
      <alignment horizontal="left" vertical="center"/>
    </xf>
    <xf numFmtId="0" fontId="59" fillId="0" borderId="5" xfId="145" applyFont="1" applyBorder="1" applyAlignment="1">
      <alignment horizontal="left" vertical="center"/>
    </xf>
    <xf numFmtId="0" fontId="10" fillId="0" borderId="3" xfId="145" applyFont="1" applyBorder="1" applyAlignment="1">
      <alignment horizontal="left"/>
    </xf>
    <xf numFmtId="0" fontId="60" fillId="0" borderId="0" xfId="145" applyFont="1" applyAlignment="1">
      <alignment horizontal="left"/>
    </xf>
    <xf numFmtId="0" fontId="10" fillId="0" borderId="3" xfId="110" applyFont="1" applyBorder="1" applyAlignment="1" applyProtection="1">
      <alignment horizontal="left" vertical="center"/>
      <protection locked="0"/>
    </xf>
    <xf numFmtId="0" fontId="10" fillId="0" borderId="4" xfId="110" quotePrefix="1" applyFont="1" applyBorder="1" applyAlignment="1" applyProtection="1">
      <alignment horizontal="left" vertical="center"/>
      <protection locked="0"/>
    </xf>
    <xf numFmtId="0" fontId="10" fillId="0" borderId="3" xfId="145" applyFont="1" applyBorder="1" applyAlignment="1" applyProtection="1">
      <alignment horizontal="left" vertical="center"/>
      <protection locked="0"/>
    </xf>
    <xf numFmtId="0" fontId="10" fillId="0" borderId="4" xfId="110" applyFont="1" applyBorder="1" applyAlignment="1" applyProtection="1">
      <alignment horizontal="left" vertical="center"/>
      <protection locked="0"/>
    </xf>
    <xf numFmtId="0" fontId="10" fillId="0" borderId="4" xfId="145" applyFont="1" applyBorder="1" applyAlignment="1">
      <alignment horizontal="left" vertical="center"/>
    </xf>
    <xf numFmtId="49" fontId="10" fillId="0" borderId="3" xfId="110" applyNumberFormat="1" applyFont="1" applyBorder="1" applyAlignment="1" applyProtection="1">
      <alignment horizontal="left" vertical="center"/>
      <protection locked="0"/>
    </xf>
    <xf numFmtId="49" fontId="10" fillId="0" borderId="4" xfId="110" quotePrefix="1" applyNumberFormat="1" applyFont="1" applyBorder="1" applyAlignment="1" applyProtection="1">
      <alignment horizontal="left" vertical="center"/>
      <protection locked="0"/>
    </xf>
    <xf numFmtId="0" fontId="59" fillId="0" borderId="4" xfId="110" applyFont="1" applyBorder="1" applyAlignment="1">
      <alignment horizontal="left" vertical="center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1" xfId="145" applyFont="1" applyBorder="1" applyAlignment="1">
      <alignment horizontal="center" vertical="center"/>
    </xf>
    <xf numFmtId="0" fontId="7" fillId="0" borderId="0" xfId="145" applyFont="1" applyAlignment="1">
      <alignment vertical="center"/>
    </xf>
    <xf numFmtId="0" fontId="8" fillId="0" borderId="45" xfId="145" applyFont="1" applyBorder="1" applyAlignment="1">
      <alignment vertical="center"/>
    </xf>
    <xf numFmtId="0" fontId="8" fillId="0" borderId="48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166" fontId="8" fillId="0" borderId="1" xfId="110" applyNumberFormat="1" applyFont="1" applyBorder="1" applyAlignment="1">
      <alignment horizontal="center" vertical="center"/>
    </xf>
    <xf numFmtId="167" fontId="8" fillId="28" borderId="1" xfId="110" applyNumberFormat="1" applyFont="1" applyFill="1" applyBorder="1" applyAlignment="1">
      <alignment horizontal="center" vertical="center"/>
    </xf>
    <xf numFmtId="0" fontId="8" fillId="0" borderId="1" xfId="110" applyFont="1" applyBorder="1" applyAlignment="1">
      <alignment horizontal="center" vertical="center"/>
    </xf>
    <xf numFmtId="0" fontId="8" fillId="0" borderId="46" xfId="145" applyFont="1" applyBorder="1" applyAlignment="1">
      <alignment vertical="center"/>
    </xf>
    <xf numFmtId="0" fontId="8" fillId="0" borderId="44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2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7" fontId="8" fillId="0" borderId="1" xfId="110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49" fontId="8" fillId="3" borderId="1" xfId="5" applyNumberFormat="1" applyFont="1" applyFill="1" applyBorder="1" applyAlignment="1">
      <alignment vertical="center"/>
    </xf>
    <xf numFmtId="0" fontId="8" fillId="3" borderId="1" xfId="5" applyFont="1" applyFill="1" applyBorder="1" applyAlignment="1">
      <alignment vertical="center"/>
    </xf>
    <xf numFmtId="0" fontId="8" fillId="3" borderId="1" xfId="145" applyFont="1" applyFill="1" applyBorder="1" applyAlignment="1">
      <alignment vertical="center"/>
    </xf>
    <xf numFmtId="0" fontId="8" fillId="0" borderId="47" xfId="145" applyFont="1" applyBorder="1" applyAlignment="1">
      <alignment vertical="center"/>
    </xf>
    <xf numFmtId="0" fontId="8" fillId="0" borderId="20" xfId="145" applyFont="1" applyBorder="1" applyAlignment="1">
      <alignment vertical="center"/>
    </xf>
    <xf numFmtId="0" fontId="6" fillId="0" borderId="6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22" xfId="145" applyFont="1" applyBorder="1" applyAlignment="1">
      <alignment vertical="center"/>
    </xf>
    <xf numFmtId="0" fontId="7" fillId="0" borderId="43" xfId="145" applyFont="1" applyBorder="1" applyAlignment="1">
      <alignment horizontal="left" vertical="center"/>
    </xf>
    <xf numFmtId="0" fontId="8" fillId="28" borderId="27" xfId="5" applyFont="1" applyFill="1" applyBorder="1" applyAlignment="1" applyProtection="1">
      <alignment horizontal="center" vertical="center"/>
      <protection locked="0"/>
    </xf>
    <xf numFmtId="0" fontId="8" fillId="28" borderId="49" xfId="5" applyFont="1" applyFill="1" applyBorder="1" applyAlignment="1" applyProtection="1">
      <alignment horizontal="center" vertical="center"/>
      <protection locked="0"/>
    </xf>
    <xf numFmtId="0" fontId="8" fillId="0" borderId="24" xfId="5" applyFont="1" applyBorder="1" applyAlignment="1">
      <alignment vertical="center"/>
    </xf>
    <xf numFmtId="0" fontId="8" fillId="0" borderId="25" xfId="145" applyFont="1" applyBorder="1" applyAlignment="1">
      <alignment vertical="center"/>
    </xf>
    <xf numFmtId="0" fontId="8" fillId="0" borderId="25" xfId="5" applyFont="1" applyBorder="1" applyAlignment="1">
      <alignment vertical="center"/>
    </xf>
    <xf numFmtId="0" fontId="8" fillId="0" borderId="22" xfId="5" applyFont="1" applyBorder="1" applyAlignment="1">
      <alignment vertical="center"/>
    </xf>
    <xf numFmtId="0" fontId="7" fillId="0" borderId="16" xfId="110" applyFont="1" applyBorder="1" applyAlignment="1">
      <alignment horizontal="left" vertical="center"/>
    </xf>
    <xf numFmtId="0" fontId="55" fillId="0" borderId="17" xfId="110" applyFont="1" applyBorder="1" applyAlignment="1" applyProtection="1">
      <alignment vertical="center"/>
      <protection locked="0"/>
    </xf>
    <xf numFmtId="0" fontId="8" fillId="0" borderId="16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7" xfId="110" applyFont="1" applyBorder="1" applyAlignment="1">
      <alignment vertical="center"/>
    </xf>
    <xf numFmtId="0" fontId="8" fillId="0" borderId="17" xfId="110" applyFont="1" applyBorder="1" applyAlignment="1">
      <alignment horizontal="center" vertical="center"/>
    </xf>
    <xf numFmtId="0" fontId="8" fillId="0" borderId="17" xfId="5" applyFont="1" applyBorder="1" applyAlignment="1">
      <alignment horizontal="center" vertical="center"/>
    </xf>
    <xf numFmtId="0" fontId="8" fillId="0" borderId="17" xfId="5" applyFont="1" applyBorder="1" applyAlignment="1">
      <alignment vertical="center"/>
    </xf>
    <xf numFmtId="0" fontId="8" fillId="0" borderId="18" xfId="5" applyFont="1" applyBorder="1" applyAlignment="1">
      <alignment vertical="center"/>
    </xf>
    <xf numFmtId="0" fontId="8" fillId="0" borderId="24" xfId="145" applyFont="1" applyBorder="1" applyAlignment="1">
      <alignment vertical="center"/>
    </xf>
    <xf numFmtId="0" fontId="8" fillId="0" borderId="53" xfId="110" applyFont="1" applyBorder="1" applyAlignment="1">
      <alignment horizontal="center" vertical="center"/>
    </xf>
    <xf numFmtId="0" fontId="8" fillId="0" borderId="12" xfId="110" applyFont="1" applyBorder="1" applyAlignment="1">
      <alignment horizontal="center" vertical="center"/>
    </xf>
    <xf numFmtId="0" fontId="8" fillId="0" borderId="54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49" xfId="110" applyFont="1" applyBorder="1" applyAlignment="1">
      <alignment horizontal="center"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7" fillId="0" borderId="0" xfId="110" applyFont="1" applyAlignment="1">
      <alignment horizontal="center" vertical="center"/>
    </xf>
    <xf numFmtId="0" fontId="58" fillId="0" borderId="0" xfId="145" applyFont="1" applyAlignment="1">
      <alignment vertical="center"/>
    </xf>
    <xf numFmtId="0" fontId="58" fillId="0" borderId="0" xfId="145" applyFont="1" applyAlignment="1">
      <alignment horizontal="center" vertical="center"/>
    </xf>
    <xf numFmtId="0" fontId="8" fillId="0" borderId="15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15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8" fillId="0" borderId="17" xfId="145" applyFont="1" applyBorder="1" applyAlignment="1">
      <alignment horizontal="center" vertical="center"/>
    </xf>
    <xf numFmtId="0" fontId="8" fillId="0" borderId="18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49" fontId="8" fillId="3" borderId="1" xfId="5" applyNumberFormat="1" applyFont="1" applyFill="1" applyBorder="1" applyAlignment="1">
      <alignment horizontal="center" vertical="center"/>
    </xf>
    <xf numFmtId="0" fontId="8" fillId="28" borderId="1" xfId="110" applyFont="1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vertical="center"/>
    </xf>
    <xf numFmtId="0" fontId="8" fillId="0" borderId="10" xfId="110" applyFont="1" applyBorder="1" applyAlignment="1">
      <alignment vertical="center"/>
    </xf>
    <xf numFmtId="0" fontId="8" fillId="0" borderId="4" xfId="110" applyFont="1" applyBorder="1" applyAlignment="1">
      <alignment vertical="center"/>
    </xf>
    <xf numFmtId="0" fontId="8" fillId="0" borderId="12" xfId="110" applyFont="1" applyBorder="1" applyAlignment="1">
      <alignment vertical="center"/>
    </xf>
    <xf numFmtId="0" fontId="8" fillId="0" borderId="13" xfId="11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8" fillId="0" borderId="54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51" fillId="0" borderId="12" xfId="148" applyFont="1" applyBorder="1" applyAlignment="1">
      <alignment vertical="center"/>
    </xf>
    <xf numFmtId="0" fontId="8" fillId="0" borderId="5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8" fillId="0" borderId="54" xfId="145" applyFont="1" applyBorder="1" applyAlignment="1">
      <alignment vertical="center"/>
    </xf>
    <xf numFmtId="0" fontId="8" fillId="0" borderId="4" xfId="145" applyFont="1" applyBorder="1" applyAlignment="1">
      <alignment horizontal="center" vertical="center"/>
    </xf>
    <xf numFmtId="0" fontId="8" fillId="0" borderId="10" xfId="145" applyFont="1" applyBorder="1" applyAlignment="1">
      <alignment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14" fontId="0" fillId="2" borderId="0" xfId="0" quotePrefix="1" applyNumberFormat="1" applyFill="1"/>
    <xf numFmtId="0" fontId="8" fillId="0" borderId="0" xfId="5" applyFont="1" applyBorder="1" applyAlignment="1">
      <alignment vertical="center"/>
    </xf>
    <xf numFmtId="0" fontId="8" fillId="0" borderId="0" xfId="145" applyFont="1" applyBorder="1" applyAlignment="1">
      <alignment vertical="center"/>
    </xf>
    <xf numFmtId="0" fontId="8" fillId="0" borderId="26" xfId="5" applyFont="1" applyBorder="1" applyAlignment="1">
      <alignment horizontal="center" vertical="center"/>
    </xf>
    <xf numFmtId="0" fontId="8" fillId="0" borderId="15" xfId="5" applyFont="1" applyBorder="1" applyAlignment="1">
      <alignment horizontal="center" vertical="center"/>
    </xf>
    <xf numFmtId="0" fontId="56" fillId="0" borderId="17" xfId="110" applyFont="1" applyBorder="1" applyAlignment="1" applyProtection="1">
      <alignment horizontal="left" vertical="center" shrinkToFit="1"/>
      <protection locked="0" hidden="1"/>
    </xf>
    <xf numFmtId="0" fontId="8" fillId="0" borderId="18" xfId="5" applyFont="1" applyBorder="1" applyAlignment="1">
      <alignment horizontal="center" vertical="center"/>
    </xf>
    <xf numFmtId="166" fontId="8" fillId="0" borderId="3" xfId="110" applyNumberFormat="1" applyFont="1" applyBorder="1" applyAlignment="1">
      <alignment horizontal="center" vertical="center"/>
    </xf>
    <xf numFmtId="166" fontId="8" fillId="0" borderId="5" xfId="110" applyNumberFormat="1" applyFont="1" applyBorder="1" applyAlignment="1">
      <alignment horizontal="center"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0" fontId="7" fillId="0" borderId="3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0" fontId="8" fillId="0" borderId="45" xfId="145" applyFont="1" applyBorder="1" applyAlignment="1">
      <alignment vertical="top"/>
    </xf>
    <xf numFmtId="0" fontId="8" fillId="0" borderId="48" xfId="145" applyFont="1" applyBorder="1" applyAlignment="1">
      <alignment vertical="top"/>
    </xf>
    <xf numFmtId="0" fontId="8" fillId="0" borderId="46" xfId="145" applyFont="1" applyBorder="1" applyAlignment="1">
      <alignment vertical="top"/>
    </xf>
    <xf numFmtId="0" fontId="8" fillId="0" borderId="44" xfId="145" applyFont="1" applyBorder="1" applyAlignment="1">
      <alignment vertical="top"/>
    </xf>
    <xf numFmtId="0" fontId="8" fillId="0" borderId="5" xfId="145" applyFont="1" applyBorder="1" applyAlignment="1">
      <alignment vertical="top"/>
    </xf>
    <xf numFmtId="0" fontId="8" fillId="0" borderId="3" xfId="110" applyFont="1" applyBorder="1" applyAlignment="1">
      <alignment horizontal="left" vertical="center"/>
    </xf>
    <xf numFmtId="0" fontId="8" fillId="0" borderId="4" xfId="110" applyFont="1" applyBorder="1" applyAlignment="1">
      <alignment horizontal="left" vertical="center"/>
    </xf>
    <xf numFmtId="0" fontId="8" fillId="0" borderId="5" xfId="110" applyFont="1" applyBorder="1" applyAlignment="1">
      <alignment horizontal="left" vertical="center"/>
    </xf>
    <xf numFmtId="0" fontId="7" fillId="29" borderId="3" xfId="110" applyFont="1" applyFill="1" applyBorder="1" applyAlignment="1" applyProtection="1">
      <alignment horizontal="center" vertical="center"/>
      <protection locked="0"/>
    </xf>
    <xf numFmtId="0" fontId="7" fillId="29" borderId="5" xfId="110" applyFont="1" applyFill="1" applyBorder="1" applyAlignment="1" applyProtection="1">
      <alignment horizontal="center" vertical="center"/>
      <protection locked="0"/>
    </xf>
    <xf numFmtId="0" fontId="8" fillId="0" borderId="3" xfId="145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7" fillId="0" borderId="40" xfId="145" applyFont="1" applyBorder="1" applyAlignment="1">
      <alignment horizontal="center" vertical="center"/>
    </xf>
    <xf numFmtId="0" fontId="7" fillId="0" borderId="41" xfId="145" applyFont="1" applyBorder="1" applyAlignment="1">
      <alignment horizontal="center" vertical="center"/>
    </xf>
    <xf numFmtId="0" fontId="7" fillId="0" borderId="42" xfId="145" applyFont="1" applyBorder="1" applyAlignment="1">
      <alignment horizontal="center" vertical="center"/>
    </xf>
    <xf numFmtId="0" fontId="53" fillId="0" borderId="8" xfId="5" applyFont="1" applyBorder="1" applyAlignment="1">
      <alignment horizontal="center" vertical="center"/>
    </xf>
    <xf numFmtId="0" fontId="53" fillId="0" borderId="11" xfId="5" applyFont="1" applyBorder="1" applyAlignment="1">
      <alignment horizontal="center" vertical="center"/>
    </xf>
    <xf numFmtId="0" fontId="53" fillId="0" borderId="9" xfId="5" applyFont="1" applyBorder="1" applyAlignment="1">
      <alignment horizontal="center" vertical="center"/>
    </xf>
    <xf numFmtId="0" fontId="3" fillId="0" borderId="22" xfId="145" applyBorder="1" applyAlignment="1">
      <alignment horizontal="center" vertical="center"/>
    </xf>
    <xf numFmtId="0" fontId="3" fillId="0" borderId="0" xfId="145" applyAlignment="1">
      <alignment horizontal="center" vertical="center"/>
    </xf>
    <xf numFmtId="0" fontId="3" fillId="0" borderId="15" xfId="145" applyBorder="1" applyAlignment="1">
      <alignment horizontal="center" vertical="center"/>
    </xf>
    <xf numFmtId="0" fontId="6" fillId="0" borderId="50" xfId="145" applyFont="1" applyBorder="1" applyAlignment="1">
      <alignment horizontal="left" vertical="center"/>
    </xf>
    <xf numFmtId="0" fontId="6" fillId="0" borderId="12" xfId="145" applyFont="1" applyBorder="1" applyAlignment="1">
      <alignment horizontal="left" vertical="center"/>
    </xf>
    <xf numFmtId="0" fontId="6" fillId="0" borderId="13" xfId="145" applyFont="1" applyBorder="1" applyAlignment="1">
      <alignment horizontal="left" vertical="center"/>
    </xf>
    <xf numFmtId="0" fontId="3" fillId="0" borderId="19" xfId="145" applyBorder="1" applyAlignment="1">
      <alignment horizontal="center" vertical="center"/>
    </xf>
    <xf numFmtId="0" fontId="3" fillId="0" borderId="2" xfId="145" applyBorder="1" applyAlignment="1">
      <alignment horizontal="center" vertical="center"/>
    </xf>
    <xf numFmtId="0" fontId="3" fillId="0" borderId="27" xfId="145" applyBorder="1" applyAlignment="1">
      <alignment horizontal="center" vertical="center"/>
    </xf>
    <xf numFmtId="0" fontId="6" fillId="0" borderId="51" xfId="145" applyFont="1" applyBorder="1" applyAlignment="1">
      <alignment horizontal="left" vertical="center"/>
    </xf>
    <xf numFmtId="0" fontId="6" fillId="0" borderId="4" xfId="145" applyFont="1" applyBorder="1" applyAlignment="1">
      <alignment horizontal="left" vertical="center"/>
    </xf>
    <xf numFmtId="0" fontId="6" fillId="0" borderId="21" xfId="145" applyFont="1" applyBorder="1" applyAlignment="1">
      <alignment horizontal="left" vertical="center"/>
    </xf>
    <xf numFmtId="0" fontId="54" fillId="0" borderId="20" xfId="145" applyFont="1" applyBorder="1" applyAlignment="1">
      <alignment horizontal="center" vertical="center"/>
    </xf>
    <xf numFmtId="0" fontId="54" fillId="0" borderId="6" xfId="145" applyFont="1" applyBorder="1" applyAlignment="1">
      <alignment horizontal="center" vertical="center"/>
    </xf>
    <xf numFmtId="0" fontId="54" fillId="0" borderId="14" xfId="145" applyFont="1" applyBorder="1" applyAlignment="1">
      <alignment horizontal="center" vertical="center"/>
    </xf>
    <xf numFmtId="0" fontId="54" fillId="0" borderId="22" xfId="145" applyFont="1" applyBorder="1" applyAlignment="1">
      <alignment horizontal="center" vertical="center"/>
    </xf>
    <xf numFmtId="0" fontId="54" fillId="0" borderId="0" xfId="145" applyFont="1" applyAlignment="1">
      <alignment horizontal="center" vertical="center"/>
    </xf>
    <xf numFmtId="0" fontId="54" fillId="0" borderId="15" xfId="145" applyFont="1" applyBorder="1" applyAlignment="1">
      <alignment horizontal="center" vertical="center"/>
    </xf>
    <xf numFmtId="0" fontId="54" fillId="0" borderId="16" xfId="145" applyFont="1" applyBorder="1" applyAlignment="1">
      <alignment horizontal="center" vertical="center"/>
    </xf>
    <xf numFmtId="0" fontId="54" fillId="0" borderId="17" xfId="145" applyFont="1" applyBorder="1" applyAlignment="1">
      <alignment horizontal="center" vertical="center"/>
    </xf>
    <xf numFmtId="0" fontId="54" fillId="0" borderId="18" xfId="145" applyFont="1" applyBorder="1" applyAlignment="1">
      <alignment horizontal="center" vertical="center"/>
    </xf>
    <xf numFmtId="0" fontId="6" fillId="0" borderId="52" xfId="145" applyFont="1" applyBorder="1" applyAlignment="1">
      <alignment horizontal="left" vertical="center"/>
    </xf>
    <xf numFmtId="0" fontId="6" fillId="0" borderId="10" xfId="145" applyFont="1" applyBorder="1" applyAlignment="1">
      <alignment horizontal="left" vertical="center"/>
    </xf>
    <xf numFmtId="0" fontId="6" fillId="0" borderId="23" xfId="145" applyFont="1" applyBorder="1" applyAlignment="1">
      <alignment horizontal="left" vertical="center"/>
    </xf>
    <xf numFmtId="0" fontId="7" fillId="0" borderId="24" xfId="110" applyFont="1" applyBorder="1" applyAlignment="1">
      <alignment horizontal="center" vertical="center"/>
    </xf>
    <xf numFmtId="0" fontId="7" fillId="0" borderId="25" xfId="110" applyFont="1" applyBorder="1" applyAlignment="1">
      <alignment horizontal="center" vertical="center"/>
    </xf>
    <xf numFmtId="0" fontId="7" fillId="0" borderId="22" xfId="110" applyFont="1" applyBorder="1" applyAlignment="1">
      <alignment horizontal="center" vertical="center"/>
    </xf>
    <xf numFmtId="0" fontId="7" fillId="0" borderId="0" xfId="110" applyFont="1" applyAlignment="1">
      <alignment horizontal="center" vertical="center"/>
    </xf>
    <xf numFmtId="0" fontId="7" fillId="0" borderId="0" xfId="110" applyFont="1" applyBorder="1" applyAlignment="1">
      <alignment horizontal="center" vertical="center"/>
    </xf>
    <xf numFmtId="0" fontId="7" fillId="0" borderId="16" xfId="110" applyFont="1" applyBorder="1" applyAlignment="1">
      <alignment horizontal="center" vertical="center"/>
    </xf>
    <xf numFmtId="0" fontId="7" fillId="0" borderId="17" xfId="110" applyFont="1" applyBorder="1" applyAlignment="1">
      <alignment horizontal="center" vertical="center"/>
    </xf>
    <xf numFmtId="0" fontId="10" fillId="0" borderId="25" xfId="145" applyFont="1" applyBorder="1" applyAlignment="1">
      <alignment vertical="center" wrapText="1"/>
    </xf>
    <xf numFmtId="0" fontId="3" fillId="0" borderId="26" xfId="145" applyBorder="1" applyAlignment="1">
      <alignment vertical="center" wrapText="1"/>
    </xf>
    <xf numFmtId="0" fontId="3" fillId="0" borderId="0" xfId="145" applyAlignment="1">
      <alignment vertical="center" wrapText="1"/>
    </xf>
    <xf numFmtId="0" fontId="3" fillId="0" borderId="15" xfId="145" applyBorder="1" applyAlignment="1">
      <alignment vertical="center" wrapText="1"/>
    </xf>
    <xf numFmtId="0" fontId="3" fillId="0" borderId="17" xfId="145" applyBorder="1" applyAlignment="1">
      <alignment vertical="center" wrapText="1"/>
    </xf>
    <xf numFmtId="0" fontId="3" fillId="0" borderId="18" xfId="145" applyBorder="1" applyAlignment="1">
      <alignment vertical="center" wrapText="1"/>
    </xf>
    <xf numFmtId="2" fontId="42" fillId="28" borderId="24" xfId="110" applyNumberFormat="1" applyFont="1" applyFill="1" applyBorder="1" applyAlignment="1">
      <alignment horizontal="center" vertical="center"/>
    </xf>
    <xf numFmtId="0" fontId="43" fillId="28" borderId="25" xfId="145" applyFont="1" applyFill="1" applyBorder="1" applyAlignment="1">
      <alignment horizontal="center" vertical="center"/>
    </xf>
    <xf numFmtId="0" fontId="43" fillId="28" borderId="26" xfId="145" applyFont="1" applyFill="1" applyBorder="1" applyAlignment="1">
      <alignment horizontal="center" vertical="center"/>
    </xf>
    <xf numFmtId="0" fontId="43" fillId="28" borderId="22" xfId="145" applyFont="1" applyFill="1" applyBorder="1" applyAlignment="1">
      <alignment horizontal="center" vertical="center"/>
    </xf>
    <xf numFmtId="0" fontId="43" fillId="28" borderId="0" xfId="145" applyFont="1" applyFill="1" applyAlignment="1">
      <alignment horizontal="center" vertical="center"/>
    </xf>
    <xf numFmtId="0" fontId="43" fillId="28" borderId="15" xfId="145" applyFont="1" applyFill="1" applyBorder="1" applyAlignment="1">
      <alignment horizontal="center" vertical="center"/>
    </xf>
    <xf numFmtId="0" fontId="43" fillId="28" borderId="16" xfId="145" applyFont="1" applyFill="1" applyBorder="1" applyAlignment="1">
      <alignment horizontal="center" vertical="center"/>
    </xf>
    <xf numFmtId="0" fontId="43" fillId="28" borderId="17" xfId="145" applyFont="1" applyFill="1" applyBorder="1" applyAlignment="1">
      <alignment horizontal="center" vertical="center"/>
    </xf>
    <xf numFmtId="0" fontId="43" fillId="28" borderId="18" xfId="145" applyFont="1" applyFill="1" applyBorder="1" applyAlignment="1">
      <alignment horizontal="center" vertical="center"/>
    </xf>
    <xf numFmtId="2" fontId="10" fillId="0" borderId="24" xfId="110" applyNumberFormat="1" applyFont="1" applyBorder="1" applyAlignment="1">
      <alignment horizontal="center" vertical="center"/>
    </xf>
    <xf numFmtId="0" fontId="3" fillId="0" borderId="25" xfId="145" applyBorder="1" applyAlignment="1">
      <alignment horizontal="center" vertical="center"/>
    </xf>
    <xf numFmtId="0" fontId="3" fillId="0" borderId="26" xfId="145" applyBorder="1" applyAlignment="1">
      <alignment horizontal="center" vertical="center"/>
    </xf>
    <xf numFmtId="0" fontId="3" fillId="0" borderId="16" xfId="145" applyBorder="1" applyAlignment="1">
      <alignment horizontal="center" vertical="center"/>
    </xf>
    <xf numFmtId="0" fontId="3" fillId="0" borderId="17" xfId="145" applyBorder="1" applyAlignment="1">
      <alignment horizontal="center" vertical="center"/>
    </xf>
    <xf numFmtId="0" fontId="3" fillId="0" borderId="18" xfId="145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22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5" fillId="0" borderId="24" xfId="110" applyFont="1" applyBorder="1" applyAlignment="1">
      <alignment horizontal="center" vertical="center"/>
    </xf>
    <xf numFmtId="0" fontId="45" fillId="0" borderId="26" xfId="110" applyFont="1" applyBorder="1" applyAlignment="1">
      <alignment horizontal="center" vertical="center"/>
    </xf>
    <xf numFmtId="0" fontId="45" fillId="0" borderId="22" xfId="110" applyFont="1" applyBorder="1" applyAlignment="1">
      <alignment horizontal="center" vertical="center"/>
    </xf>
    <xf numFmtId="0" fontId="45" fillId="0" borderId="15" xfId="110" applyFont="1" applyBorder="1" applyAlignment="1">
      <alignment horizontal="center" vertical="center"/>
    </xf>
    <xf numFmtId="0" fontId="45" fillId="0" borderId="16" xfId="110" applyFont="1" applyBorder="1" applyAlignment="1">
      <alignment horizontal="center" vertical="center"/>
    </xf>
    <xf numFmtId="0" fontId="45" fillId="0" borderId="18" xfId="110" applyFont="1" applyBorder="1" applyAlignment="1">
      <alignment horizontal="center" vertical="center"/>
    </xf>
    <xf numFmtId="0" fontId="46" fillId="0" borderId="22" xfId="110" applyFont="1" applyBorder="1" applyAlignment="1">
      <alignment horizontal="center" vertical="center"/>
    </xf>
    <xf numFmtId="0" fontId="46" fillId="0" borderId="0" xfId="110" applyFont="1" applyAlignment="1">
      <alignment horizontal="center" vertical="center"/>
    </xf>
    <xf numFmtId="0" fontId="46" fillId="0" borderId="16" xfId="110" applyFont="1" applyBorder="1" applyAlignment="1">
      <alignment horizontal="center" vertical="center"/>
    </xf>
    <xf numFmtId="0" fontId="46" fillId="0" borderId="17" xfId="110" applyFont="1" applyBorder="1" applyAlignment="1">
      <alignment horizontal="center" vertical="center"/>
    </xf>
  </cellXfs>
  <cellStyles count="149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3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130969</xdr:colOff>
      <xdr:row>0</xdr:row>
      <xdr:rowOff>11906</xdr:rowOff>
    </xdr:from>
    <xdr:to>
      <xdr:col>2</xdr:col>
      <xdr:colOff>343863</xdr:colOff>
      <xdr:row>0</xdr:row>
      <xdr:rowOff>488535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360CD-2194-4EF9-9053-8DF53B488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769" y="11906"/>
          <a:ext cx="936794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workbookViewId="0">
      <selection activeCell="B1" sqref="B1:B1048576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7"/>
      <c r="C1" s="2" t="s">
        <v>78</v>
      </c>
      <c r="D1" s="1" t="s">
        <v>25</v>
      </c>
    </row>
    <row r="2" spans="1:4" s="1" customFormat="1">
      <c r="A2" s="2">
        <v>2</v>
      </c>
      <c r="B2" s="27"/>
      <c r="C2" s="2" t="s">
        <v>1</v>
      </c>
    </row>
    <row r="3" spans="1:4" s="1" customFormat="1">
      <c r="A3" s="2">
        <v>3</v>
      </c>
      <c r="C3" s="2" t="s">
        <v>278</v>
      </c>
    </row>
    <row r="4" spans="1:4" s="1" customFormat="1">
      <c r="A4" s="2">
        <v>4</v>
      </c>
      <c r="C4" s="2" t="s">
        <v>279</v>
      </c>
    </row>
    <row r="5" spans="1:4" s="1" customFormat="1">
      <c r="A5" s="2">
        <v>5</v>
      </c>
      <c r="C5" s="2" t="s">
        <v>280</v>
      </c>
    </row>
    <row r="6" spans="1:4" s="1" customFormat="1">
      <c r="A6" s="2">
        <v>6</v>
      </c>
      <c r="C6" s="2" t="s">
        <v>281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282</v>
      </c>
    </row>
    <row r="11" spans="1:4" s="1" customFormat="1">
      <c r="A11" s="2">
        <v>11</v>
      </c>
      <c r="B11" s="143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283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284</v>
      </c>
    </row>
    <row r="16" spans="1:4" s="1" customFormat="1">
      <c r="A16" s="2">
        <v>16</v>
      </c>
      <c r="C16" s="2" t="s">
        <v>285</v>
      </c>
    </row>
    <row r="17" spans="1:4" s="1" customFormat="1">
      <c r="A17" s="2">
        <v>17</v>
      </c>
      <c r="C17" s="2" t="s">
        <v>286</v>
      </c>
    </row>
    <row r="18" spans="1:4" s="1" customFormat="1">
      <c r="A18" s="2">
        <v>18</v>
      </c>
      <c r="C18" s="2" t="s">
        <v>287</v>
      </c>
    </row>
    <row r="19" spans="1:4" s="1" customFormat="1">
      <c r="A19" s="2">
        <v>19</v>
      </c>
      <c r="C19" s="2" t="s">
        <v>304</v>
      </c>
    </row>
    <row r="20" spans="1:4" s="1" customFormat="1" ht="14.25" thickBot="1">
      <c r="A20" s="2">
        <v>20</v>
      </c>
      <c r="C20" s="2" t="s">
        <v>27</v>
      </c>
    </row>
    <row r="21" spans="1:4" s="6" customFormat="1">
      <c r="A21" s="3">
        <v>21</v>
      </c>
      <c r="B21" s="8"/>
      <c r="C21" s="8" t="s">
        <v>83</v>
      </c>
      <c r="D21" s="6" t="s">
        <v>82</v>
      </c>
    </row>
    <row r="22" spans="1:4" s="6" customFormat="1">
      <c r="A22" s="3">
        <v>22</v>
      </c>
      <c r="B22" s="5"/>
      <c r="C22" s="5" t="s">
        <v>84</v>
      </c>
      <c r="D22" s="6">
        <v>1</v>
      </c>
    </row>
    <row r="23" spans="1:4" s="6" customFormat="1">
      <c r="A23" s="3">
        <v>23</v>
      </c>
      <c r="B23" s="5"/>
      <c r="C23" s="5" t="s">
        <v>87</v>
      </c>
    </row>
    <row r="24" spans="1:4" s="6" customFormat="1">
      <c r="A24" s="3">
        <v>24</v>
      </c>
      <c r="B24" s="5"/>
      <c r="C24" s="5" t="s">
        <v>88</v>
      </c>
    </row>
    <row r="25" spans="1:4" s="6" customFormat="1">
      <c r="A25" s="3">
        <v>25</v>
      </c>
      <c r="B25" s="5"/>
      <c r="C25" s="5" t="s">
        <v>86</v>
      </c>
    </row>
    <row r="26" spans="1:4" s="6" customFormat="1">
      <c r="A26" s="3">
        <v>26</v>
      </c>
      <c r="B26" s="5"/>
      <c r="C26" s="5" t="s">
        <v>85</v>
      </c>
    </row>
    <row r="27" spans="1:4" s="6" customFormat="1">
      <c r="A27" s="3">
        <v>27</v>
      </c>
      <c r="B27" s="5"/>
      <c r="C27" s="5" t="s">
        <v>89</v>
      </c>
    </row>
    <row r="28" spans="1:4" s="6" customFormat="1">
      <c r="A28" s="3">
        <v>28</v>
      </c>
      <c r="B28" s="5"/>
      <c r="C28" s="5" t="s">
        <v>92</v>
      </c>
    </row>
    <row r="29" spans="1:4" s="6" customFormat="1">
      <c r="A29" s="3">
        <v>29</v>
      </c>
      <c r="B29" s="5"/>
      <c r="C29" s="5" t="s">
        <v>65</v>
      </c>
    </row>
    <row r="30" spans="1:4" s="6" customFormat="1" ht="14.25" thickBot="1">
      <c r="A30" s="3">
        <v>30</v>
      </c>
      <c r="B30" s="7"/>
      <c r="C30" s="7" t="s">
        <v>26</v>
      </c>
    </row>
    <row r="31" spans="1:4" s="6" customFormat="1">
      <c r="A31" s="3">
        <v>31</v>
      </c>
      <c r="B31" s="5"/>
      <c r="C31" s="8" t="s">
        <v>83</v>
      </c>
      <c r="D31" s="6" t="s">
        <v>82</v>
      </c>
    </row>
    <row r="32" spans="1:4" s="6" customFormat="1">
      <c r="A32" s="3">
        <v>32</v>
      </c>
      <c r="B32" s="22"/>
      <c r="C32" s="5" t="s">
        <v>84</v>
      </c>
      <c r="D32" s="6">
        <v>2</v>
      </c>
    </row>
    <row r="33" spans="1:4" s="6" customFormat="1">
      <c r="A33" s="3">
        <v>33</v>
      </c>
      <c r="B33" s="22"/>
      <c r="C33" s="5" t="s">
        <v>87</v>
      </c>
    </row>
    <row r="34" spans="1:4" s="6" customFormat="1">
      <c r="A34" s="3">
        <v>34</v>
      </c>
      <c r="B34" s="22"/>
      <c r="C34" s="5" t="s">
        <v>88</v>
      </c>
    </row>
    <row r="35" spans="1:4" s="6" customFormat="1">
      <c r="A35" s="3">
        <v>35</v>
      </c>
      <c r="B35" s="5"/>
      <c r="C35" s="5" t="s">
        <v>86</v>
      </c>
    </row>
    <row r="36" spans="1:4" s="6" customFormat="1">
      <c r="A36" s="3">
        <v>36</v>
      </c>
      <c r="B36" s="5"/>
      <c r="C36" s="5" t="s">
        <v>85</v>
      </c>
    </row>
    <row r="37" spans="1:4" s="6" customFormat="1">
      <c r="A37" s="3">
        <v>37</v>
      </c>
      <c r="B37" s="5"/>
      <c r="C37" s="5" t="s">
        <v>89</v>
      </c>
    </row>
    <row r="38" spans="1:4" s="6" customFormat="1">
      <c r="A38" s="3">
        <v>38</v>
      </c>
      <c r="B38" s="5"/>
      <c r="C38" s="5" t="s">
        <v>92</v>
      </c>
    </row>
    <row r="39" spans="1:4" s="6" customFormat="1">
      <c r="A39" s="3">
        <v>39</v>
      </c>
      <c r="B39" s="5"/>
      <c r="C39" s="5" t="s">
        <v>65</v>
      </c>
    </row>
    <row r="40" spans="1:4" s="6" customFormat="1" ht="14.25" thickBot="1">
      <c r="A40" s="3">
        <v>40</v>
      </c>
      <c r="B40" s="7"/>
      <c r="C40" s="7" t="s">
        <v>26</v>
      </c>
    </row>
    <row r="41" spans="1:4" s="6" customFormat="1">
      <c r="A41" s="3">
        <v>41</v>
      </c>
      <c r="B41" s="5"/>
      <c r="C41" s="8" t="s">
        <v>83</v>
      </c>
      <c r="D41" s="6" t="s">
        <v>82</v>
      </c>
    </row>
    <row r="42" spans="1:4" s="6" customFormat="1">
      <c r="A42" s="3">
        <v>42</v>
      </c>
      <c r="B42" s="5"/>
      <c r="C42" s="5" t="s">
        <v>84</v>
      </c>
      <c r="D42" s="6">
        <v>3</v>
      </c>
    </row>
    <row r="43" spans="1:4" s="6" customFormat="1">
      <c r="A43" s="3">
        <v>43</v>
      </c>
      <c r="B43" s="5"/>
      <c r="C43" s="5" t="s">
        <v>87</v>
      </c>
    </row>
    <row r="44" spans="1:4" s="6" customFormat="1">
      <c r="A44" s="3">
        <v>44</v>
      </c>
      <c r="B44" s="5"/>
      <c r="C44" s="5" t="s">
        <v>88</v>
      </c>
    </row>
    <row r="45" spans="1:4" s="6" customFormat="1">
      <c r="A45" s="3">
        <v>45</v>
      </c>
      <c r="B45" s="5"/>
      <c r="C45" s="5" t="s">
        <v>86</v>
      </c>
    </row>
    <row r="46" spans="1:4" s="6" customFormat="1">
      <c r="A46" s="3">
        <v>46</v>
      </c>
      <c r="B46" s="5"/>
      <c r="C46" s="5" t="s">
        <v>85</v>
      </c>
    </row>
    <row r="47" spans="1:4" s="6" customFormat="1">
      <c r="A47" s="3">
        <v>47</v>
      </c>
      <c r="B47" s="5"/>
      <c r="C47" s="5" t="s">
        <v>89</v>
      </c>
    </row>
    <row r="48" spans="1:4" s="6" customFormat="1">
      <c r="A48" s="3">
        <v>48</v>
      </c>
      <c r="B48" s="5"/>
      <c r="C48" s="5" t="s">
        <v>92</v>
      </c>
    </row>
    <row r="49" spans="1:4" s="6" customFormat="1">
      <c r="A49" s="3">
        <v>49</v>
      </c>
      <c r="B49" s="5"/>
      <c r="C49" s="5" t="s">
        <v>65</v>
      </c>
    </row>
    <row r="50" spans="1:4" s="6" customFormat="1" ht="14.25" thickBot="1">
      <c r="A50" s="3">
        <v>50</v>
      </c>
      <c r="B50" s="7"/>
      <c r="C50" s="7" t="s">
        <v>26</v>
      </c>
    </row>
    <row r="51" spans="1:4" s="6" customFormat="1">
      <c r="A51" s="3">
        <v>51</v>
      </c>
      <c r="B51" s="5"/>
      <c r="C51" s="8" t="s">
        <v>83</v>
      </c>
      <c r="D51" s="6" t="s">
        <v>82</v>
      </c>
    </row>
    <row r="52" spans="1:4" s="6" customFormat="1">
      <c r="A52" s="3">
        <v>52</v>
      </c>
      <c r="B52" s="5"/>
      <c r="C52" s="5" t="s">
        <v>84</v>
      </c>
      <c r="D52" s="6">
        <v>4</v>
      </c>
    </row>
    <row r="53" spans="1:4" s="6" customFormat="1">
      <c r="A53" s="3">
        <v>53</v>
      </c>
      <c r="B53" s="5"/>
      <c r="C53" s="5" t="s">
        <v>87</v>
      </c>
    </row>
    <row r="54" spans="1:4" s="6" customFormat="1">
      <c r="A54" s="3">
        <v>54</v>
      </c>
      <c r="B54" s="5"/>
      <c r="C54" s="5" t="s">
        <v>88</v>
      </c>
    </row>
    <row r="55" spans="1:4" s="6" customFormat="1">
      <c r="A55" s="3">
        <v>55</v>
      </c>
      <c r="B55" s="5"/>
      <c r="C55" s="5" t="s">
        <v>86</v>
      </c>
    </row>
    <row r="56" spans="1:4" s="6" customFormat="1">
      <c r="A56" s="3">
        <v>56</v>
      </c>
      <c r="B56" s="5"/>
      <c r="C56" s="5" t="s">
        <v>85</v>
      </c>
    </row>
    <row r="57" spans="1:4" s="6" customFormat="1">
      <c r="A57" s="3">
        <v>57</v>
      </c>
      <c r="B57" s="5"/>
      <c r="C57" s="5" t="s">
        <v>89</v>
      </c>
    </row>
    <row r="58" spans="1:4" s="6" customFormat="1">
      <c r="A58" s="3">
        <v>58</v>
      </c>
      <c r="B58" s="5"/>
      <c r="C58" s="5" t="s">
        <v>92</v>
      </c>
    </row>
    <row r="59" spans="1:4" s="6" customFormat="1">
      <c r="A59" s="3">
        <v>59</v>
      </c>
      <c r="B59" s="5"/>
      <c r="C59" s="5" t="s">
        <v>65</v>
      </c>
    </row>
    <row r="60" spans="1:4" s="6" customFormat="1" ht="14.25" thickBot="1">
      <c r="A60" s="3">
        <v>60</v>
      </c>
      <c r="B60" s="7"/>
      <c r="C60" s="7" t="s">
        <v>26</v>
      </c>
    </row>
    <row r="61" spans="1:4" s="6" customFormat="1">
      <c r="A61" s="3">
        <v>61</v>
      </c>
      <c r="B61" s="5"/>
      <c r="C61" s="8" t="s">
        <v>83</v>
      </c>
      <c r="D61" s="6" t="s">
        <v>82</v>
      </c>
    </row>
    <row r="62" spans="1:4" s="6" customFormat="1">
      <c r="A62" s="3">
        <v>62</v>
      </c>
      <c r="B62" s="5"/>
      <c r="C62" s="5" t="s">
        <v>84</v>
      </c>
      <c r="D62" s="6">
        <v>5</v>
      </c>
    </row>
    <row r="63" spans="1:4" s="6" customFormat="1">
      <c r="A63" s="3">
        <v>63</v>
      </c>
      <c r="B63" s="5"/>
      <c r="C63" s="5" t="s">
        <v>87</v>
      </c>
    </row>
    <row r="64" spans="1:4" s="6" customFormat="1">
      <c r="A64" s="3">
        <v>64</v>
      </c>
      <c r="B64" s="5"/>
      <c r="C64" s="5" t="s">
        <v>88</v>
      </c>
    </row>
    <row r="65" spans="1:4" s="6" customFormat="1">
      <c r="A65" s="3">
        <v>65</v>
      </c>
      <c r="B65" s="5"/>
      <c r="C65" s="5" t="s">
        <v>86</v>
      </c>
    </row>
    <row r="66" spans="1:4" s="6" customFormat="1">
      <c r="A66" s="3">
        <v>66</v>
      </c>
      <c r="B66" s="5"/>
      <c r="C66" s="5" t="s">
        <v>85</v>
      </c>
    </row>
    <row r="67" spans="1:4" s="6" customFormat="1">
      <c r="A67" s="3">
        <v>67</v>
      </c>
      <c r="B67" s="5"/>
      <c r="C67" s="5" t="s">
        <v>89</v>
      </c>
    </row>
    <row r="68" spans="1:4" s="6" customFormat="1">
      <c r="A68" s="3">
        <v>68</v>
      </c>
      <c r="B68" s="5"/>
      <c r="C68" s="5" t="s">
        <v>92</v>
      </c>
    </row>
    <row r="69" spans="1:4" s="6" customFormat="1">
      <c r="A69" s="3">
        <v>69</v>
      </c>
      <c r="B69" s="5"/>
      <c r="C69" s="5" t="s">
        <v>65</v>
      </c>
    </row>
    <row r="70" spans="1:4" s="6" customFormat="1" ht="14.25" thickBot="1">
      <c r="A70" s="3">
        <v>70</v>
      </c>
      <c r="B70" s="7"/>
      <c r="C70" s="7" t="s">
        <v>26</v>
      </c>
    </row>
    <row r="71" spans="1:4" s="6" customFormat="1">
      <c r="A71" s="3">
        <v>71</v>
      </c>
      <c r="B71" s="5"/>
      <c r="C71" s="8" t="s">
        <v>83</v>
      </c>
      <c r="D71" s="6" t="s">
        <v>82</v>
      </c>
    </row>
    <row r="72" spans="1:4" s="6" customFormat="1">
      <c r="A72" s="3">
        <v>72</v>
      </c>
      <c r="B72" s="5"/>
      <c r="C72" s="5" t="s">
        <v>84</v>
      </c>
      <c r="D72" s="6">
        <v>6</v>
      </c>
    </row>
    <row r="73" spans="1:4" s="6" customFormat="1">
      <c r="A73" s="3">
        <v>73</v>
      </c>
      <c r="B73" s="5"/>
      <c r="C73" s="5" t="s">
        <v>87</v>
      </c>
    </row>
    <row r="74" spans="1:4" s="6" customFormat="1">
      <c r="A74" s="3">
        <v>74</v>
      </c>
      <c r="B74" s="5"/>
      <c r="C74" s="5" t="s">
        <v>88</v>
      </c>
    </row>
    <row r="75" spans="1:4" s="6" customFormat="1">
      <c r="A75" s="3">
        <v>75</v>
      </c>
      <c r="B75" s="5"/>
      <c r="C75" s="5" t="s">
        <v>86</v>
      </c>
    </row>
    <row r="76" spans="1:4" s="6" customFormat="1">
      <c r="A76" s="3">
        <v>76</v>
      </c>
      <c r="B76" s="5"/>
      <c r="C76" s="5" t="s">
        <v>85</v>
      </c>
    </row>
    <row r="77" spans="1:4" s="6" customFormat="1">
      <c r="A77" s="3">
        <v>77</v>
      </c>
      <c r="B77" s="5"/>
      <c r="C77" s="5" t="s">
        <v>89</v>
      </c>
    </row>
    <row r="78" spans="1:4" s="6" customFormat="1">
      <c r="A78" s="3">
        <v>78</v>
      </c>
      <c r="B78" s="5"/>
      <c r="C78" s="5" t="s">
        <v>92</v>
      </c>
    </row>
    <row r="79" spans="1:4" s="6" customFormat="1">
      <c r="A79" s="3">
        <v>79</v>
      </c>
      <c r="B79" s="5"/>
      <c r="C79" s="5" t="s">
        <v>65</v>
      </c>
    </row>
    <row r="80" spans="1:4" s="6" customFormat="1" ht="14.25" thickBot="1">
      <c r="A80" s="3">
        <v>80</v>
      </c>
      <c r="B80" s="7"/>
      <c r="C80" s="7" t="s">
        <v>26</v>
      </c>
    </row>
    <row r="81" spans="1:4" s="6" customFormat="1">
      <c r="A81" s="3">
        <v>81</v>
      </c>
      <c r="B81" s="5"/>
      <c r="C81" s="8" t="s">
        <v>83</v>
      </c>
      <c r="D81" s="6" t="s">
        <v>82</v>
      </c>
    </row>
    <row r="82" spans="1:4" s="6" customFormat="1">
      <c r="A82" s="3">
        <v>82</v>
      </c>
      <c r="B82" s="5"/>
      <c r="C82" s="5" t="s">
        <v>84</v>
      </c>
      <c r="D82" s="6">
        <v>7</v>
      </c>
    </row>
    <row r="83" spans="1:4" s="6" customFormat="1">
      <c r="A83" s="3">
        <v>83</v>
      </c>
      <c r="B83" s="5"/>
      <c r="C83" s="5" t="s">
        <v>87</v>
      </c>
    </row>
    <row r="84" spans="1:4" s="6" customFormat="1">
      <c r="A84" s="3">
        <v>84</v>
      </c>
      <c r="B84" s="5"/>
      <c r="C84" s="5" t="s">
        <v>88</v>
      </c>
    </row>
    <row r="85" spans="1:4" s="6" customFormat="1">
      <c r="A85" s="3">
        <v>85</v>
      </c>
      <c r="B85" s="5"/>
      <c r="C85" s="5" t="s">
        <v>86</v>
      </c>
    </row>
    <row r="86" spans="1:4" s="6" customFormat="1">
      <c r="A86" s="3">
        <v>86</v>
      </c>
      <c r="B86" s="5"/>
      <c r="C86" s="5" t="s">
        <v>85</v>
      </c>
    </row>
    <row r="87" spans="1:4" s="6" customFormat="1">
      <c r="A87" s="3">
        <v>87</v>
      </c>
      <c r="B87" s="5"/>
      <c r="C87" s="5" t="s">
        <v>89</v>
      </c>
    </row>
    <row r="88" spans="1:4" s="6" customFormat="1">
      <c r="A88" s="3">
        <v>88</v>
      </c>
      <c r="B88" s="5"/>
      <c r="C88" s="5" t="s">
        <v>92</v>
      </c>
    </row>
    <row r="89" spans="1:4" s="6" customFormat="1">
      <c r="A89" s="3">
        <v>89</v>
      </c>
      <c r="B89" s="5"/>
      <c r="C89" s="5" t="s">
        <v>65</v>
      </c>
    </row>
    <row r="90" spans="1:4" s="6" customFormat="1" ht="14.25" thickBot="1">
      <c r="A90" s="3">
        <v>90</v>
      </c>
      <c r="B90" s="7"/>
      <c r="C90" s="7" t="s">
        <v>26</v>
      </c>
    </row>
    <row r="91" spans="1:4" s="6" customFormat="1">
      <c r="A91" s="3">
        <v>91</v>
      </c>
      <c r="B91" s="5"/>
      <c r="C91" s="8" t="s">
        <v>83</v>
      </c>
      <c r="D91" s="6" t="s">
        <v>82</v>
      </c>
    </row>
    <row r="92" spans="1:4" s="6" customFormat="1">
      <c r="A92" s="3">
        <v>92</v>
      </c>
      <c r="B92" s="5"/>
      <c r="C92" s="5" t="s">
        <v>84</v>
      </c>
      <c r="D92" s="6">
        <v>8</v>
      </c>
    </row>
    <row r="93" spans="1:4" s="6" customFormat="1">
      <c r="A93" s="3">
        <v>93</v>
      </c>
      <c r="B93" s="5"/>
      <c r="C93" s="5" t="s">
        <v>87</v>
      </c>
    </row>
    <row r="94" spans="1:4" s="6" customFormat="1">
      <c r="A94" s="3">
        <v>94</v>
      </c>
      <c r="B94" s="5"/>
      <c r="C94" s="5" t="s">
        <v>88</v>
      </c>
    </row>
    <row r="95" spans="1:4" s="6" customFormat="1">
      <c r="A95" s="3">
        <v>95</v>
      </c>
      <c r="B95" s="5"/>
      <c r="C95" s="5" t="s">
        <v>86</v>
      </c>
    </row>
    <row r="96" spans="1:4" s="6" customFormat="1">
      <c r="A96" s="3">
        <v>96</v>
      </c>
      <c r="B96" s="5"/>
      <c r="C96" s="5" t="s">
        <v>85</v>
      </c>
    </row>
    <row r="97" spans="1:4" s="6" customFormat="1">
      <c r="A97" s="3">
        <v>97</v>
      </c>
      <c r="B97" s="5"/>
      <c r="C97" s="5" t="s">
        <v>89</v>
      </c>
    </row>
    <row r="98" spans="1:4" s="6" customFormat="1">
      <c r="A98" s="3">
        <v>98</v>
      </c>
      <c r="B98" s="5"/>
      <c r="C98" s="5" t="s">
        <v>92</v>
      </c>
    </row>
    <row r="99" spans="1:4" s="6" customFormat="1">
      <c r="A99" s="3">
        <v>99</v>
      </c>
      <c r="B99" s="5"/>
      <c r="C99" s="5" t="s">
        <v>65</v>
      </c>
    </row>
    <row r="100" spans="1:4" s="6" customFormat="1" ht="14.25" thickBot="1">
      <c r="A100" s="3">
        <v>100</v>
      </c>
      <c r="B100" s="7"/>
      <c r="C100" s="7" t="s">
        <v>26</v>
      </c>
    </row>
    <row r="101" spans="1:4" s="6" customFormat="1">
      <c r="A101" s="3">
        <v>101</v>
      </c>
      <c r="B101" s="5"/>
      <c r="C101" s="8" t="s">
        <v>83</v>
      </c>
      <c r="D101" s="6" t="s">
        <v>82</v>
      </c>
    </row>
    <row r="102" spans="1:4" s="6" customFormat="1">
      <c r="A102" s="3">
        <v>102</v>
      </c>
      <c r="B102" s="5"/>
      <c r="C102" s="5" t="s">
        <v>84</v>
      </c>
      <c r="D102" s="6">
        <v>9</v>
      </c>
    </row>
    <row r="103" spans="1:4" s="6" customFormat="1">
      <c r="A103" s="3">
        <v>103</v>
      </c>
      <c r="B103" s="5"/>
      <c r="C103" s="5" t="s">
        <v>87</v>
      </c>
    </row>
    <row r="104" spans="1:4" s="6" customFormat="1">
      <c r="A104" s="3">
        <v>104</v>
      </c>
      <c r="B104" s="5"/>
      <c r="C104" s="5" t="s">
        <v>88</v>
      </c>
    </row>
    <row r="105" spans="1:4" s="6" customFormat="1">
      <c r="A105" s="3">
        <v>105</v>
      </c>
      <c r="B105" s="5"/>
      <c r="C105" s="5" t="s">
        <v>86</v>
      </c>
    </row>
    <row r="106" spans="1:4" s="6" customFormat="1">
      <c r="A106" s="3">
        <v>106</v>
      </c>
      <c r="B106" s="5"/>
      <c r="C106" s="5" t="s">
        <v>85</v>
      </c>
    </row>
    <row r="107" spans="1:4" s="6" customFormat="1">
      <c r="A107" s="3">
        <v>107</v>
      </c>
      <c r="B107" s="5"/>
      <c r="C107" s="5" t="s">
        <v>89</v>
      </c>
    </row>
    <row r="108" spans="1:4" s="6" customFormat="1">
      <c r="A108" s="3">
        <v>108</v>
      </c>
      <c r="B108" s="5"/>
      <c r="C108" s="5" t="s">
        <v>92</v>
      </c>
    </row>
    <row r="109" spans="1:4" s="6" customFormat="1">
      <c r="A109" s="3">
        <v>109</v>
      </c>
      <c r="B109" s="5"/>
      <c r="C109" s="5" t="s">
        <v>65</v>
      </c>
    </row>
    <row r="110" spans="1:4" s="6" customFormat="1" ht="14.25" thickBot="1">
      <c r="A110" s="3">
        <v>110</v>
      </c>
      <c r="B110" s="7"/>
      <c r="C110" s="7" t="s">
        <v>26</v>
      </c>
    </row>
    <row r="111" spans="1:4" s="6" customFormat="1">
      <c r="A111" s="3">
        <v>111</v>
      </c>
      <c r="B111" s="5"/>
      <c r="C111" s="8" t="s">
        <v>83</v>
      </c>
      <c r="D111" s="6" t="s">
        <v>82</v>
      </c>
    </row>
    <row r="112" spans="1:4" s="6" customFormat="1">
      <c r="A112" s="3">
        <v>112</v>
      </c>
      <c r="B112" s="5"/>
      <c r="C112" s="5" t="s">
        <v>84</v>
      </c>
      <c r="D112" s="6">
        <v>10</v>
      </c>
    </row>
    <row r="113" spans="1:4" s="6" customFormat="1">
      <c r="A113" s="3">
        <v>113</v>
      </c>
      <c r="B113" s="5"/>
      <c r="C113" s="5" t="s">
        <v>87</v>
      </c>
    </row>
    <row r="114" spans="1:4" s="6" customFormat="1">
      <c r="A114" s="3">
        <v>114</v>
      </c>
      <c r="B114" s="5"/>
      <c r="C114" s="5" t="s">
        <v>88</v>
      </c>
    </row>
    <row r="115" spans="1:4" s="6" customFormat="1">
      <c r="A115" s="3">
        <v>115</v>
      </c>
      <c r="B115" s="5"/>
      <c r="C115" s="5" t="s">
        <v>86</v>
      </c>
    </row>
    <row r="116" spans="1:4" s="6" customFormat="1">
      <c r="A116" s="3">
        <v>116</v>
      </c>
      <c r="B116" s="5"/>
      <c r="C116" s="5" t="s">
        <v>85</v>
      </c>
    </row>
    <row r="117" spans="1:4" s="6" customFormat="1">
      <c r="A117" s="3">
        <v>117</v>
      </c>
      <c r="B117" s="5"/>
      <c r="C117" s="5" t="s">
        <v>89</v>
      </c>
    </row>
    <row r="118" spans="1:4" s="6" customFormat="1">
      <c r="A118" s="3">
        <v>118</v>
      </c>
      <c r="B118" s="5"/>
      <c r="C118" s="5" t="s">
        <v>92</v>
      </c>
    </row>
    <row r="119" spans="1:4" s="6" customFormat="1">
      <c r="A119" s="3">
        <v>119</v>
      </c>
      <c r="B119" s="5"/>
      <c r="C119" s="5" t="s">
        <v>65</v>
      </c>
    </row>
    <row r="120" spans="1:4" s="6" customFormat="1" ht="14.25" thickBot="1">
      <c r="A120" s="3">
        <v>120</v>
      </c>
      <c r="B120" s="7"/>
      <c r="C120" s="7" t="s">
        <v>26</v>
      </c>
    </row>
    <row r="121" spans="1:4" s="6" customFormat="1">
      <c r="A121" s="3">
        <v>121</v>
      </c>
      <c r="B121" s="5"/>
      <c r="C121" s="8" t="s">
        <v>83</v>
      </c>
      <c r="D121" s="6" t="s">
        <v>82</v>
      </c>
    </row>
    <row r="122" spans="1:4" s="6" customFormat="1">
      <c r="A122" s="3">
        <v>122</v>
      </c>
      <c r="B122" s="5"/>
      <c r="C122" s="5" t="s">
        <v>84</v>
      </c>
      <c r="D122" s="6">
        <v>11</v>
      </c>
    </row>
    <row r="123" spans="1:4" s="6" customFormat="1">
      <c r="A123" s="3">
        <v>123</v>
      </c>
      <c r="B123" s="5"/>
      <c r="C123" s="5" t="s">
        <v>87</v>
      </c>
    </row>
    <row r="124" spans="1:4" s="6" customFormat="1">
      <c r="A124" s="3">
        <v>124</v>
      </c>
      <c r="B124" s="5"/>
      <c r="C124" s="5" t="s">
        <v>88</v>
      </c>
    </row>
    <row r="125" spans="1:4" s="6" customFormat="1">
      <c r="A125" s="3">
        <v>125</v>
      </c>
      <c r="B125" s="5"/>
      <c r="C125" s="5" t="s">
        <v>86</v>
      </c>
    </row>
    <row r="126" spans="1:4" s="6" customFormat="1">
      <c r="A126" s="3">
        <v>126</v>
      </c>
      <c r="B126" s="5"/>
      <c r="C126" s="5" t="s">
        <v>85</v>
      </c>
    </row>
    <row r="127" spans="1:4" s="6" customFormat="1">
      <c r="A127" s="3">
        <v>127</v>
      </c>
      <c r="B127" s="5"/>
      <c r="C127" s="5" t="s">
        <v>89</v>
      </c>
    </row>
    <row r="128" spans="1:4" s="6" customFormat="1">
      <c r="A128" s="3">
        <v>128</v>
      </c>
      <c r="B128" s="5"/>
      <c r="C128" s="5" t="s">
        <v>92</v>
      </c>
    </row>
    <row r="129" spans="1:4" s="6" customFormat="1">
      <c r="A129" s="3">
        <v>129</v>
      </c>
      <c r="B129" s="5"/>
      <c r="C129" s="5" t="s">
        <v>65</v>
      </c>
    </row>
    <row r="130" spans="1:4" s="6" customFormat="1" ht="14.25" thickBot="1">
      <c r="A130" s="3">
        <v>130</v>
      </c>
      <c r="B130" s="7"/>
      <c r="C130" s="7" t="s">
        <v>26</v>
      </c>
    </row>
    <row r="131" spans="1:4" s="6" customFormat="1">
      <c r="A131" s="3">
        <v>131</v>
      </c>
      <c r="B131" s="5"/>
      <c r="C131" s="8" t="s">
        <v>83</v>
      </c>
      <c r="D131" s="6" t="s">
        <v>82</v>
      </c>
    </row>
    <row r="132" spans="1:4" s="6" customFormat="1">
      <c r="A132" s="3">
        <v>132</v>
      </c>
      <c r="B132" s="5"/>
      <c r="C132" s="5" t="s">
        <v>84</v>
      </c>
      <c r="D132" s="6">
        <v>12</v>
      </c>
    </row>
    <row r="133" spans="1:4" s="6" customFormat="1">
      <c r="A133" s="3">
        <v>133</v>
      </c>
      <c r="B133" s="5"/>
      <c r="C133" s="5" t="s">
        <v>87</v>
      </c>
    </row>
    <row r="134" spans="1:4" s="6" customFormat="1">
      <c r="A134" s="3">
        <v>134</v>
      </c>
      <c r="B134" s="5"/>
      <c r="C134" s="5" t="s">
        <v>88</v>
      </c>
    </row>
    <row r="135" spans="1:4" s="6" customFormat="1">
      <c r="A135" s="3">
        <v>135</v>
      </c>
      <c r="B135" s="5"/>
      <c r="C135" s="5" t="s">
        <v>86</v>
      </c>
    </row>
    <row r="136" spans="1:4" s="6" customFormat="1">
      <c r="A136" s="3">
        <v>136</v>
      </c>
      <c r="B136" s="5"/>
      <c r="C136" s="5" t="s">
        <v>85</v>
      </c>
    </row>
    <row r="137" spans="1:4" s="6" customFormat="1">
      <c r="A137" s="3">
        <v>137</v>
      </c>
      <c r="B137" s="5"/>
      <c r="C137" s="5" t="s">
        <v>89</v>
      </c>
    </row>
    <row r="138" spans="1:4" s="6" customFormat="1">
      <c r="A138" s="3">
        <v>138</v>
      </c>
      <c r="B138" s="5"/>
      <c r="C138" s="5" t="s">
        <v>92</v>
      </c>
    </row>
    <row r="139" spans="1:4" s="6" customFormat="1">
      <c r="A139" s="3">
        <v>139</v>
      </c>
      <c r="B139" s="5"/>
      <c r="C139" s="5" t="s">
        <v>65</v>
      </c>
    </row>
    <row r="140" spans="1:4" s="6" customFormat="1" ht="14.25" thickBot="1">
      <c r="A140" s="3">
        <v>140</v>
      </c>
      <c r="B140" s="7"/>
      <c r="C140" s="7" t="s">
        <v>26</v>
      </c>
    </row>
    <row r="141" spans="1:4" s="6" customFormat="1">
      <c r="A141" s="3">
        <v>141</v>
      </c>
      <c r="B141" s="5"/>
      <c r="C141" s="8" t="s">
        <v>83</v>
      </c>
      <c r="D141" s="6" t="s">
        <v>82</v>
      </c>
    </row>
    <row r="142" spans="1:4" s="6" customFormat="1">
      <c r="A142" s="3">
        <v>142</v>
      </c>
      <c r="B142" s="5"/>
      <c r="C142" s="5" t="s">
        <v>84</v>
      </c>
      <c r="D142" s="6">
        <v>13</v>
      </c>
    </row>
    <row r="143" spans="1:4" s="6" customFormat="1">
      <c r="A143" s="3">
        <v>143</v>
      </c>
      <c r="B143" s="5"/>
      <c r="C143" s="5" t="s">
        <v>87</v>
      </c>
    </row>
    <row r="144" spans="1:4" s="6" customFormat="1">
      <c r="A144" s="3">
        <v>144</v>
      </c>
      <c r="B144" s="5"/>
      <c r="C144" s="5" t="s">
        <v>88</v>
      </c>
    </row>
    <row r="145" spans="1:4" s="6" customFormat="1">
      <c r="A145" s="3">
        <v>145</v>
      </c>
      <c r="B145" s="5"/>
      <c r="C145" s="5" t="s">
        <v>86</v>
      </c>
    </row>
    <row r="146" spans="1:4" s="6" customFormat="1">
      <c r="A146" s="3">
        <v>146</v>
      </c>
      <c r="B146" s="5"/>
      <c r="C146" s="5" t="s">
        <v>85</v>
      </c>
    </row>
    <row r="147" spans="1:4" s="6" customFormat="1">
      <c r="A147" s="3">
        <v>147</v>
      </c>
      <c r="B147" s="5"/>
      <c r="C147" s="5" t="s">
        <v>89</v>
      </c>
    </row>
    <row r="148" spans="1:4" s="6" customFormat="1">
      <c r="A148" s="3">
        <v>148</v>
      </c>
      <c r="B148" s="5"/>
      <c r="C148" s="5" t="s">
        <v>92</v>
      </c>
    </row>
    <row r="149" spans="1:4" s="6" customFormat="1">
      <c r="A149" s="3">
        <v>149</v>
      </c>
      <c r="B149" s="5"/>
      <c r="C149" s="5" t="s">
        <v>65</v>
      </c>
    </row>
    <row r="150" spans="1:4" s="6" customFormat="1" ht="14.25" thickBot="1">
      <c r="A150" s="3">
        <v>150</v>
      </c>
      <c r="B150" s="7"/>
      <c r="C150" s="7" t="s">
        <v>26</v>
      </c>
    </row>
    <row r="151" spans="1:4" s="6" customFormat="1">
      <c r="A151" s="3">
        <v>151</v>
      </c>
      <c r="B151" s="5"/>
      <c r="C151" s="8" t="s">
        <v>83</v>
      </c>
      <c r="D151" s="6" t="s">
        <v>82</v>
      </c>
    </row>
    <row r="152" spans="1:4" s="6" customFormat="1">
      <c r="A152" s="3">
        <v>152</v>
      </c>
      <c r="B152" s="5"/>
      <c r="C152" s="5" t="s">
        <v>84</v>
      </c>
      <c r="D152" s="6">
        <v>14</v>
      </c>
    </row>
    <row r="153" spans="1:4" s="6" customFormat="1">
      <c r="A153" s="3">
        <v>153</v>
      </c>
      <c r="B153" s="5"/>
      <c r="C153" s="5" t="s">
        <v>87</v>
      </c>
    </row>
    <row r="154" spans="1:4" s="6" customFormat="1">
      <c r="A154" s="3">
        <v>154</v>
      </c>
      <c r="B154" s="5"/>
      <c r="C154" s="5" t="s">
        <v>88</v>
      </c>
    </row>
    <row r="155" spans="1:4" s="6" customFormat="1">
      <c r="A155" s="3">
        <v>155</v>
      </c>
      <c r="B155" s="5"/>
      <c r="C155" s="5" t="s">
        <v>86</v>
      </c>
    </row>
    <row r="156" spans="1:4" s="6" customFormat="1">
      <c r="A156" s="3">
        <v>156</v>
      </c>
      <c r="B156" s="5"/>
      <c r="C156" s="5" t="s">
        <v>85</v>
      </c>
    </row>
    <row r="157" spans="1:4" s="6" customFormat="1">
      <c r="A157" s="3">
        <v>157</v>
      </c>
      <c r="B157" s="5"/>
      <c r="C157" s="5" t="s">
        <v>89</v>
      </c>
    </row>
    <row r="158" spans="1:4" s="6" customFormat="1">
      <c r="A158" s="3">
        <v>158</v>
      </c>
      <c r="B158" s="5"/>
      <c r="C158" s="5" t="s">
        <v>92</v>
      </c>
    </row>
    <row r="159" spans="1:4" s="6" customFormat="1">
      <c r="A159" s="3">
        <v>159</v>
      </c>
      <c r="B159" s="5"/>
      <c r="C159" s="5" t="s">
        <v>65</v>
      </c>
    </row>
    <row r="160" spans="1:4" s="6" customFormat="1" ht="14.25" thickBot="1">
      <c r="A160" s="3">
        <v>160</v>
      </c>
      <c r="B160" s="7"/>
      <c r="C160" s="7" t="s">
        <v>26</v>
      </c>
    </row>
    <row r="161" spans="1:4" s="6" customFormat="1">
      <c r="A161" s="3">
        <v>161</v>
      </c>
      <c r="B161" s="5"/>
      <c r="C161" s="8" t="s">
        <v>83</v>
      </c>
      <c r="D161" s="6" t="s">
        <v>82</v>
      </c>
    </row>
    <row r="162" spans="1:4" s="6" customFormat="1">
      <c r="A162" s="3">
        <v>162</v>
      </c>
      <c r="B162" s="5"/>
      <c r="C162" s="5" t="s">
        <v>84</v>
      </c>
      <c r="D162" s="6">
        <v>15</v>
      </c>
    </row>
    <row r="163" spans="1:4" s="6" customFormat="1">
      <c r="A163" s="3">
        <v>163</v>
      </c>
      <c r="B163" s="5"/>
      <c r="C163" s="5" t="s">
        <v>87</v>
      </c>
    </row>
    <row r="164" spans="1:4" s="6" customFormat="1">
      <c r="A164" s="3">
        <v>164</v>
      </c>
      <c r="B164" s="5"/>
      <c r="C164" s="5" t="s">
        <v>88</v>
      </c>
    </row>
    <row r="165" spans="1:4" s="6" customFormat="1">
      <c r="A165" s="3">
        <v>165</v>
      </c>
      <c r="B165" s="5"/>
      <c r="C165" s="5" t="s">
        <v>86</v>
      </c>
    </row>
    <row r="166" spans="1:4" s="6" customFormat="1">
      <c r="A166" s="3">
        <v>166</v>
      </c>
      <c r="B166" s="5"/>
      <c r="C166" s="5" t="s">
        <v>85</v>
      </c>
    </row>
    <row r="167" spans="1:4" s="6" customFormat="1">
      <c r="A167" s="3">
        <v>167</v>
      </c>
      <c r="B167" s="5"/>
      <c r="C167" s="5" t="s">
        <v>89</v>
      </c>
    </row>
    <row r="168" spans="1:4" s="6" customFormat="1">
      <c r="A168" s="3">
        <v>168</v>
      </c>
      <c r="B168" s="5"/>
      <c r="C168" s="5" t="s">
        <v>92</v>
      </c>
    </row>
    <row r="169" spans="1:4" s="6" customFormat="1">
      <c r="A169" s="3">
        <v>169</v>
      </c>
      <c r="B169" s="5"/>
      <c r="C169" s="5" t="s">
        <v>65</v>
      </c>
    </row>
    <row r="170" spans="1:4" s="6" customFormat="1" ht="14.25" thickBot="1">
      <c r="A170" s="3">
        <v>170</v>
      </c>
      <c r="B170" s="7"/>
      <c r="C170" s="7" t="s">
        <v>26</v>
      </c>
    </row>
    <row r="171" spans="1:4" s="25" customFormat="1">
      <c r="A171" s="23">
        <v>171</v>
      </c>
      <c r="B171" s="23"/>
      <c r="C171" s="24" t="s">
        <v>83</v>
      </c>
      <c r="D171" s="25" t="s">
        <v>231</v>
      </c>
    </row>
    <row r="172" spans="1:4" s="25" customFormat="1">
      <c r="A172" s="23">
        <v>172</v>
      </c>
      <c r="B172" s="23"/>
      <c r="C172" s="23" t="s">
        <v>84</v>
      </c>
      <c r="D172" s="25">
        <v>1</v>
      </c>
    </row>
    <row r="173" spans="1:4" s="25" customFormat="1">
      <c r="A173" s="23">
        <v>173</v>
      </c>
      <c r="B173" s="23"/>
      <c r="C173" s="23" t="s">
        <v>87</v>
      </c>
    </row>
    <row r="174" spans="1:4" s="25" customFormat="1">
      <c r="A174" s="23">
        <v>174</v>
      </c>
      <c r="B174" s="23"/>
      <c r="C174" s="23" t="s">
        <v>88</v>
      </c>
    </row>
    <row r="175" spans="1:4" s="25" customFormat="1">
      <c r="A175" s="23">
        <v>175</v>
      </c>
      <c r="B175" s="23"/>
      <c r="C175" s="23" t="s">
        <v>86</v>
      </c>
    </row>
    <row r="176" spans="1:4" s="25" customFormat="1">
      <c r="A176" s="23">
        <v>176</v>
      </c>
      <c r="B176" s="23"/>
      <c r="C176" s="23" t="s">
        <v>85</v>
      </c>
    </row>
    <row r="177" spans="1:4" s="25" customFormat="1">
      <c r="A177" s="23">
        <v>177</v>
      </c>
      <c r="B177" s="23"/>
      <c r="C177" s="23" t="s">
        <v>89</v>
      </c>
    </row>
    <row r="178" spans="1:4" s="25" customFormat="1">
      <c r="A178" s="23">
        <v>178</v>
      </c>
      <c r="B178" s="23"/>
      <c r="C178" s="23" t="s">
        <v>92</v>
      </c>
    </row>
    <row r="179" spans="1:4" s="25" customFormat="1">
      <c r="A179" s="23">
        <v>179</v>
      </c>
      <c r="B179" s="23"/>
      <c r="C179" s="23" t="s">
        <v>65</v>
      </c>
    </row>
    <row r="180" spans="1:4" s="25" customFormat="1" ht="14.25" thickBot="1">
      <c r="A180" s="23">
        <v>180</v>
      </c>
      <c r="B180" s="26"/>
      <c r="C180" s="26" t="s">
        <v>26</v>
      </c>
    </row>
    <row r="181" spans="1:4" s="25" customFormat="1">
      <c r="A181" s="23">
        <v>181</v>
      </c>
      <c r="B181" s="23"/>
      <c r="C181" s="24" t="s">
        <v>83</v>
      </c>
      <c r="D181" s="25" t="s">
        <v>231</v>
      </c>
    </row>
    <row r="182" spans="1:4" s="25" customFormat="1">
      <c r="A182" s="23">
        <v>182</v>
      </c>
      <c r="B182" s="23"/>
      <c r="C182" s="23" t="s">
        <v>84</v>
      </c>
      <c r="D182" s="25">
        <v>2</v>
      </c>
    </row>
    <row r="183" spans="1:4" s="25" customFormat="1">
      <c r="A183" s="23">
        <v>183</v>
      </c>
      <c r="B183" s="23"/>
      <c r="C183" s="23" t="s">
        <v>87</v>
      </c>
    </row>
    <row r="184" spans="1:4" s="25" customFormat="1">
      <c r="A184" s="23">
        <v>184</v>
      </c>
      <c r="B184" s="23"/>
      <c r="C184" s="23" t="s">
        <v>88</v>
      </c>
    </row>
    <row r="185" spans="1:4" s="25" customFormat="1">
      <c r="A185" s="23">
        <v>185</v>
      </c>
      <c r="B185" s="23"/>
      <c r="C185" s="23" t="s">
        <v>86</v>
      </c>
    </row>
    <row r="186" spans="1:4" s="25" customFormat="1">
      <c r="A186" s="23">
        <v>186</v>
      </c>
      <c r="B186" s="23"/>
      <c r="C186" s="23" t="s">
        <v>85</v>
      </c>
    </row>
    <row r="187" spans="1:4" s="25" customFormat="1">
      <c r="A187" s="23">
        <v>187</v>
      </c>
      <c r="B187" s="23"/>
      <c r="C187" s="23" t="s">
        <v>89</v>
      </c>
    </row>
    <row r="188" spans="1:4" s="25" customFormat="1">
      <c r="A188" s="23">
        <v>188</v>
      </c>
      <c r="B188" s="23"/>
      <c r="C188" s="23" t="s">
        <v>92</v>
      </c>
    </row>
    <row r="189" spans="1:4" s="25" customFormat="1">
      <c r="A189" s="23">
        <v>189</v>
      </c>
      <c r="B189" s="23"/>
      <c r="C189" s="23" t="s">
        <v>65</v>
      </c>
    </row>
    <row r="190" spans="1:4" s="25" customFormat="1" ht="14.25" thickBot="1">
      <c r="A190" s="23">
        <v>190</v>
      </c>
      <c r="B190" s="26"/>
      <c r="C190" s="26" t="s">
        <v>26</v>
      </c>
    </row>
    <row r="191" spans="1:4" s="25" customFormat="1">
      <c r="A191" s="23">
        <v>191</v>
      </c>
      <c r="B191" s="23"/>
      <c r="C191" s="24" t="s">
        <v>83</v>
      </c>
      <c r="D191" s="25" t="s">
        <v>231</v>
      </c>
    </row>
    <row r="192" spans="1:4" s="25" customFormat="1">
      <c r="A192" s="23">
        <v>192</v>
      </c>
      <c r="B192" s="23"/>
      <c r="C192" s="23" t="s">
        <v>84</v>
      </c>
      <c r="D192" s="25">
        <v>3</v>
      </c>
    </row>
    <row r="193" spans="1:4" s="25" customFormat="1">
      <c r="A193" s="23">
        <v>193</v>
      </c>
      <c r="B193" s="23"/>
      <c r="C193" s="23" t="s">
        <v>87</v>
      </c>
    </row>
    <row r="194" spans="1:4" s="25" customFormat="1">
      <c r="A194" s="23">
        <v>194</v>
      </c>
      <c r="B194" s="23"/>
      <c r="C194" s="23" t="s">
        <v>88</v>
      </c>
    </row>
    <row r="195" spans="1:4" s="25" customFormat="1">
      <c r="A195" s="23">
        <v>195</v>
      </c>
      <c r="B195" s="23"/>
      <c r="C195" s="23" t="s">
        <v>86</v>
      </c>
    </row>
    <row r="196" spans="1:4" s="25" customFormat="1">
      <c r="A196" s="23">
        <v>196</v>
      </c>
      <c r="B196" s="23"/>
      <c r="C196" s="23" t="s">
        <v>85</v>
      </c>
    </row>
    <row r="197" spans="1:4" s="25" customFormat="1">
      <c r="A197" s="23">
        <v>197</v>
      </c>
      <c r="B197" s="23"/>
      <c r="C197" s="23" t="s">
        <v>89</v>
      </c>
    </row>
    <row r="198" spans="1:4" s="25" customFormat="1">
      <c r="A198" s="23">
        <v>198</v>
      </c>
      <c r="B198" s="23"/>
      <c r="C198" s="23" t="s">
        <v>92</v>
      </c>
    </row>
    <row r="199" spans="1:4" s="25" customFormat="1">
      <c r="A199" s="23">
        <v>199</v>
      </c>
      <c r="B199" s="23"/>
      <c r="C199" s="23" t="s">
        <v>65</v>
      </c>
    </row>
    <row r="200" spans="1:4" s="25" customFormat="1" ht="14.25" thickBot="1">
      <c r="A200" s="23">
        <v>200</v>
      </c>
      <c r="B200" s="26"/>
      <c r="C200" s="26" t="s">
        <v>26</v>
      </c>
    </row>
    <row r="201" spans="1:4" s="25" customFormat="1">
      <c r="A201" s="23">
        <v>201</v>
      </c>
      <c r="B201" s="23"/>
      <c r="C201" s="24" t="s">
        <v>83</v>
      </c>
      <c r="D201" s="25" t="s">
        <v>231</v>
      </c>
    </row>
    <row r="202" spans="1:4" s="25" customFormat="1">
      <c r="A202" s="23">
        <v>202</v>
      </c>
      <c r="B202" s="23"/>
      <c r="C202" s="23" t="s">
        <v>84</v>
      </c>
      <c r="D202" s="25">
        <v>4</v>
      </c>
    </row>
    <row r="203" spans="1:4" s="25" customFormat="1">
      <c r="A203" s="23">
        <v>203</v>
      </c>
      <c r="B203" s="23"/>
      <c r="C203" s="23" t="s">
        <v>87</v>
      </c>
    </row>
    <row r="204" spans="1:4" s="25" customFormat="1">
      <c r="A204" s="23">
        <v>204</v>
      </c>
      <c r="B204" s="23"/>
      <c r="C204" s="23" t="s">
        <v>88</v>
      </c>
    </row>
    <row r="205" spans="1:4" s="25" customFormat="1">
      <c r="A205" s="23">
        <v>205</v>
      </c>
      <c r="B205" s="23"/>
      <c r="C205" s="23" t="s">
        <v>86</v>
      </c>
    </row>
    <row r="206" spans="1:4" s="25" customFormat="1">
      <c r="A206" s="23">
        <v>206</v>
      </c>
      <c r="B206" s="23"/>
      <c r="C206" s="23" t="s">
        <v>85</v>
      </c>
    </row>
    <row r="207" spans="1:4" s="25" customFormat="1">
      <c r="A207" s="23">
        <v>207</v>
      </c>
      <c r="B207" s="23"/>
      <c r="C207" s="23" t="s">
        <v>89</v>
      </c>
    </row>
    <row r="208" spans="1:4" s="25" customFormat="1">
      <c r="A208" s="23">
        <v>208</v>
      </c>
      <c r="B208" s="23"/>
      <c r="C208" s="23" t="s">
        <v>92</v>
      </c>
    </row>
    <row r="209" spans="1:4" s="25" customFormat="1">
      <c r="A209" s="23">
        <v>209</v>
      </c>
      <c r="B209" s="23"/>
      <c r="C209" s="23" t="s">
        <v>65</v>
      </c>
    </row>
    <row r="210" spans="1:4" s="25" customFormat="1" ht="14.25" thickBot="1">
      <c r="A210" s="23">
        <v>210</v>
      </c>
      <c r="B210" s="26"/>
      <c r="C210" s="26" t="s">
        <v>26</v>
      </c>
    </row>
    <row r="211" spans="1:4" s="25" customFormat="1">
      <c r="A211" s="23">
        <v>211</v>
      </c>
      <c r="B211" s="23"/>
      <c r="C211" s="24" t="s">
        <v>83</v>
      </c>
      <c r="D211" s="25" t="s">
        <v>231</v>
      </c>
    </row>
    <row r="212" spans="1:4" s="25" customFormat="1">
      <c r="A212" s="23">
        <v>212</v>
      </c>
      <c r="B212" s="23"/>
      <c r="C212" s="23" t="s">
        <v>84</v>
      </c>
      <c r="D212" s="25">
        <v>5</v>
      </c>
    </row>
    <row r="213" spans="1:4" s="25" customFormat="1">
      <c r="A213" s="23">
        <v>213</v>
      </c>
      <c r="B213" s="23"/>
      <c r="C213" s="23" t="s">
        <v>87</v>
      </c>
    </row>
    <row r="214" spans="1:4" s="25" customFormat="1">
      <c r="A214" s="23">
        <v>214</v>
      </c>
      <c r="B214" s="23"/>
      <c r="C214" s="23" t="s">
        <v>88</v>
      </c>
    </row>
    <row r="215" spans="1:4" s="25" customFormat="1">
      <c r="A215" s="23">
        <v>215</v>
      </c>
      <c r="B215" s="23"/>
      <c r="C215" s="23" t="s">
        <v>86</v>
      </c>
    </row>
    <row r="216" spans="1:4" s="25" customFormat="1">
      <c r="A216" s="23">
        <v>216</v>
      </c>
      <c r="B216" s="23"/>
      <c r="C216" s="23" t="s">
        <v>85</v>
      </c>
    </row>
    <row r="217" spans="1:4" s="25" customFormat="1">
      <c r="A217" s="23">
        <v>217</v>
      </c>
      <c r="B217" s="23"/>
      <c r="C217" s="23" t="s">
        <v>89</v>
      </c>
    </row>
    <row r="218" spans="1:4" s="25" customFormat="1">
      <c r="A218" s="23">
        <v>218</v>
      </c>
      <c r="B218" s="23"/>
      <c r="C218" s="23" t="s">
        <v>92</v>
      </c>
    </row>
    <row r="219" spans="1:4" s="25" customFormat="1">
      <c r="A219" s="23">
        <v>219</v>
      </c>
      <c r="B219" s="23"/>
      <c r="C219" s="23" t="s">
        <v>65</v>
      </c>
    </row>
    <row r="220" spans="1:4" s="25" customFormat="1" ht="14.25" thickBot="1">
      <c r="A220" s="23">
        <v>220</v>
      </c>
      <c r="B220" s="26"/>
      <c r="C220" s="26" t="s">
        <v>26</v>
      </c>
    </row>
    <row r="221" spans="1:4" s="25" customFormat="1">
      <c r="A221" s="23">
        <v>221</v>
      </c>
      <c r="B221" s="23"/>
      <c r="C221" s="24" t="s">
        <v>83</v>
      </c>
      <c r="D221" s="25" t="s">
        <v>231</v>
      </c>
    </row>
    <row r="222" spans="1:4" s="25" customFormat="1">
      <c r="A222" s="23">
        <v>222</v>
      </c>
      <c r="B222" s="23"/>
      <c r="C222" s="23" t="s">
        <v>84</v>
      </c>
      <c r="D222" s="25">
        <v>6</v>
      </c>
    </row>
    <row r="223" spans="1:4" s="25" customFormat="1">
      <c r="A223" s="23">
        <v>223</v>
      </c>
      <c r="B223" s="23"/>
      <c r="C223" s="23" t="s">
        <v>87</v>
      </c>
    </row>
    <row r="224" spans="1:4" s="25" customFormat="1">
      <c r="A224" s="23">
        <v>224</v>
      </c>
      <c r="B224" s="23"/>
      <c r="C224" s="23" t="s">
        <v>88</v>
      </c>
    </row>
    <row r="225" spans="1:4" s="25" customFormat="1">
      <c r="A225" s="23">
        <v>225</v>
      </c>
      <c r="B225" s="23"/>
      <c r="C225" s="23" t="s">
        <v>86</v>
      </c>
    </row>
    <row r="226" spans="1:4" s="25" customFormat="1">
      <c r="A226" s="23">
        <v>226</v>
      </c>
      <c r="B226" s="23"/>
      <c r="C226" s="23" t="s">
        <v>85</v>
      </c>
    </row>
    <row r="227" spans="1:4" s="25" customFormat="1">
      <c r="A227" s="23">
        <v>227</v>
      </c>
      <c r="B227" s="23"/>
      <c r="C227" s="23" t="s">
        <v>89</v>
      </c>
    </row>
    <row r="228" spans="1:4" s="25" customFormat="1">
      <c r="A228" s="23">
        <v>228</v>
      </c>
      <c r="B228" s="23"/>
      <c r="C228" s="23" t="s">
        <v>92</v>
      </c>
    </row>
    <row r="229" spans="1:4" s="25" customFormat="1">
      <c r="A229" s="23">
        <v>229</v>
      </c>
      <c r="B229" s="23"/>
      <c r="C229" s="23" t="s">
        <v>65</v>
      </c>
    </row>
    <row r="230" spans="1:4" s="25" customFormat="1" ht="14.25" thickBot="1">
      <c r="A230" s="23">
        <v>230</v>
      </c>
      <c r="B230" s="26"/>
      <c r="C230" s="26" t="s">
        <v>26</v>
      </c>
    </row>
    <row r="231" spans="1:4" s="25" customFormat="1">
      <c r="A231" s="23">
        <v>231</v>
      </c>
      <c r="B231" s="23"/>
      <c r="C231" s="24" t="s">
        <v>83</v>
      </c>
      <c r="D231" s="25" t="s">
        <v>231</v>
      </c>
    </row>
    <row r="232" spans="1:4" s="25" customFormat="1">
      <c r="A232" s="23">
        <v>232</v>
      </c>
      <c r="B232" s="23"/>
      <c r="C232" s="23" t="s">
        <v>84</v>
      </c>
      <c r="D232" s="25">
        <v>7</v>
      </c>
    </row>
    <row r="233" spans="1:4" s="25" customFormat="1">
      <c r="A233" s="23">
        <v>233</v>
      </c>
      <c r="B233" s="23"/>
      <c r="C233" s="23" t="s">
        <v>87</v>
      </c>
    </row>
    <row r="234" spans="1:4" s="25" customFormat="1">
      <c r="A234" s="23">
        <v>234</v>
      </c>
      <c r="B234" s="23"/>
      <c r="C234" s="23" t="s">
        <v>88</v>
      </c>
    </row>
    <row r="235" spans="1:4" s="25" customFormat="1">
      <c r="A235" s="23">
        <v>235</v>
      </c>
      <c r="B235" s="23"/>
      <c r="C235" s="23" t="s">
        <v>86</v>
      </c>
    </row>
    <row r="236" spans="1:4" s="25" customFormat="1">
      <c r="A236" s="23">
        <v>236</v>
      </c>
      <c r="B236" s="23"/>
      <c r="C236" s="23" t="s">
        <v>85</v>
      </c>
    </row>
    <row r="237" spans="1:4" s="25" customFormat="1">
      <c r="A237" s="23">
        <v>237</v>
      </c>
      <c r="B237" s="23"/>
      <c r="C237" s="23" t="s">
        <v>89</v>
      </c>
    </row>
    <row r="238" spans="1:4" s="25" customFormat="1">
      <c r="A238" s="23">
        <v>238</v>
      </c>
      <c r="B238" s="23"/>
      <c r="C238" s="23" t="s">
        <v>92</v>
      </c>
    </row>
    <row r="239" spans="1:4" s="25" customFormat="1">
      <c r="A239" s="23">
        <v>239</v>
      </c>
      <c r="B239" s="23"/>
      <c r="C239" s="23" t="s">
        <v>65</v>
      </c>
    </row>
    <row r="240" spans="1:4" s="25" customFormat="1" ht="14.25" thickBot="1">
      <c r="A240" s="23">
        <v>240</v>
      </c>
      <c r="B240" s="26"/>
      <c r="C240" s="26" t="s">
        <v>26</v>
      </c>
    </row>
    <row r="241" spans="1:4" s="25" customFormat="1">
      <c r="A241" s="23">
        <v>241</v>
      </c>
      <c r="B241" s="23"/>
      <c r="C241" s="24" t="s">
        <v>83</v>
      </c>
      <c r="D241" s="25" t="s">
        <v>231</v>
      </c>
    </row>
    <row r="242" spans="1:4" s="25" customFormat="1">
      <c r="A242" s="23">
        <v>242</v>
      </c>
      <c r="B242" s="23"/>
      <c r="C242" s="23" t="s">
        <v>84</v>
      </c>
      <c r="D242" s="25">
        <v>8</v>
      </c>
    </row>
    <row r="243" spans="1:4" s="25" customFormat="1">
      <c r="A243" s="23">
        <v>243</v>
      </c>
      <c r="B243" s="23"/>
      <c r="C243" s="23" t="s">
        <v>87</v>
      </c>
    </row>
    <row r="244" spans="1:4" s="25" customFormat="1">
      <c r="A244" s="23">
        <v>244</v>
      </c>
      <c r="B244" s="23"/>
      <c r="C244" s="23" t="s">
        <v>88</v>
      </c>
    </row>
    <row r="245" spans="1:4" s="25" customFormat="1">
      <c r="A245" s="23">
        <v>245</v>
      </c>
      <c r="B245" s="23"/>
      <c r="C245" s="23" t="s">
        <v>86</v>
      </c>
    </row>
    <row r="246" spans="1:4" s="25" customFormat="1">
      <c r="A246" s="23">
        <v>246</v>
      </c>
      <c r="B246" s="23"/>
      <c r="C246" s="23" t="s">
        <v>85</v>
      </c>
    </row>
    <row r="247" spans="1:4" s="25" customFormat="1">
      <c r="A247" s="23">
        <v>247</v>
      </c>
      <c r="B247" s="23"/>
      <c r="C247" s="23" t="s">
        <v>89</v>
      </c>
    </row>
    <row r="248" spans="1:4" s="25" customFormat="1">
      <c r="A248" s="23">
        <v>248</v>
      </c>
      <c r="B248" s="23"/>
      <c r="C248" s="23" t="s">
        <v>92</v>
      </c>
    </row>
    <row r="249" spans="1:4" s="25" customFormat="1">
      <c r="A249" s="23">
        <v>249</v>
      </c>
      <c r="B249" s="23"/>
      <c r="C249" s="23" t="s">
        <v>65</v>
      </c>
    </row>
    <row r="250" spans="1:4" s="25" customFormat="1" ht="14.25" thickBot="1">
      <c r="A250" s="23">
        <v>250</v>
      </c>
      <c r="B250" s="26"/>
      <c r="C250" s="26" t="s">
        <v>26</v>
      </c>
    </row>
    <row r="251" spans="1:4" s="25" customFormat="1">
      <c r="A251" s="23">
        <v>251</v>
      </c>
      <c r="B251" s="23"/>
      <c r="C251" s="24" t="s">
        <v>83</v>
      </c>
      <c r="D251" s="25" t="s">
        <v>231</v>
      </c>
    </row>
    <row r="252" spans="1:4" s="25" customFormat="1">
      <c r="A252" s="23">
        <v>252</v>
      </c>
      <c r="B252" s="23"/>
      <c r="C252" s="23" t="s">
        <v>84</v>
      </c>
      <c r="D252" s="25">
        <v>9</v>
      </c>
    </row>
    <row r="253" spans="1:4" s="25" customFormat="1">
      <c r="A253" s="23">
        <v>253</v>
      </c>
      <c r="B253" s="23"/>
      <c r="C253" s="23" t="s">
        <v>87</v>
      </c>
    </row>
    <row r="254" spans="1:4" s="25" customFormat="1">
      <c r="A254" s="23">
        <v>254</v>
      </c>
      <c r="B254" s="23"/>
      <c r="C254" s="23" t="s">
        <v>88</v>
      </c>
    </row>
    <row r="255" spans="1:4" s="25" customFormat="1">
      <c r="A255" s="23">
        <v>255</v>
      </c>
      <c r="B255" s="23"/>
      <c r="C255" s="23" t="s">
        <v>86</v>
      </c>
    </row>
    <row r="256" spans="1:4" s="25" customFormat="1">
      <c r="A256" s="23">
        <v>256</v>
      </c>
      <c r="B256" s="23"/>
      <c r="C256" s="23" t="s">
        <v>85</v>
      </c>
    </row>
    <row r="257" spans="1:5" s="25" customFormat="1">
      <c r="A257" s="23">
        <v>257</v>
      </c>
      <c r="B257" s="23"/>
      <c r="C257" s="23" t="s">
        <v>89</v>
      </c>
    </row>
    <row r="258" spans="1:5" s="25" customFormat="1">
      <c r="A258" s="23">
        <v>258</v>
      </c>
      <c r="B258" s="23"/>
      <c r="C258" s="23" t="s">
        <v>92</v>
      </c>
    </row>
    <row r="259" spans="1:5" s="25" customFormat="1">
      <c r="A259" s="23">
        <v>259</v>
      </c>
      <c r="B259" s="23"/>
      <c r="C259" s="23" t="s">
        <v>65</v>
      </c>
    </row>
    <row r="260" spans="1:5" s="25" customFormat="1" ht="14.25" thickBot="1">
      <c r="A260" s="23">
        <v>260</v>
      </c>
      <c r="B260" s="26"/>
      <c r="C260" s="26" t="s">
        <v>26</v>
      </c>
    </row>
    <row r="261" spans="1:5" s="25" customFormat="1">
      <c r="A261" s="23">
        <v>261</v>
      </c>
      <c r="B261" s="23"/>
      <c r="C261" s="24" t="s">
        <v>83</v>
      </c>
      <c r="D261" s="25" t="s">
        <v>231</v>
      </c>
    </row>
    <row r="262" spans="1:5" s="25" customFormat="1">
      <c r="A262" s="23">
        <v>262</v>
      </c>
      <c r="B262" s="23"/>
      <c r="C262" s="23" t="s">
        <v>84</v>
      </c>
      <c r="D262" s="25">
        <v>10</v>
      </c>
    </row>
    <row r="263" spans="1:5" s="25" customFormat="1">
      <c r="A263" s="23">
        <v>263</v>
      </c>
      <c r="B263" s="23"/>
      <c r="C263" s="23" t="s">
        <v>87</v>
      </c>
    </row>
    <row r="264" spans="1:5" s="25" customFormat="1">
      <c r="A264" s="23">
        <v>264</v>
      </c>
      <c r="B264" s="23"/>
      <c r="C264" s="23" t="s">
        <v>88</v>
      </c>
    </row>
    <row r="265" spans="1:5" s="25" customFormat="1">
      <c r="A265" s="23">
        <v>265</v>
      </c>
      <c r="B265" s="23"/>
      <c r="C265" s="23" t="s">
        <v>86</v>
      </c>
    </row>
    <row r="266" spans="1:5" s="25" customFormat="1">
      <c r="A266" s="23">
        <v>266</v>
      </c>
      <c r="B266" s="23"/>
      <c r="C266" s="23" t="s">
        <v>85</v>
      </c>
    </row>
    <row r="267" spans="1:5" s="25" customFormat="1">
      <c r="A267" s="23">
        <v>267</v>
      </c>
      <c r="B267" s="23"/>
      <c r="C267" s="23" t="s">
        <v>89</v>
      </c>
    </row>
    <row r="268" spans="1:5" s="25" customFormat="1">
      <c r="A268" s="23">
        <v>268</v>
      </c>
      <c r="B268" s="23"/>
      <c r="C268" s="23" t="s">
        <v>92</v>
      </c>
    </row>
    <row r="269" spans="1:5" s="25" customFormat="1">
      <c r="A269" s="23">
        <v>269</v>
      </c>
      <c r="B269" s="23"/>
      <c r="C269" s="23" t="s">
        <v>65</v>
      </c>
    </row>
    <row r="270" spans="1:5" s="25" customFormat="1" ht="14.25" thickBot="1">
      <c r="A270" s="23">
        <v>270</v>
      </c>
      <c r="B270" s="26"/>
      <c r="C270" s="26" t="s">
        <v>26</v>
      </c>
    </row>
    <row r="271" spans="1:5" s="10" customFormat="1">
      <c r="A271" s="23">
        <v>271</v>
      </c>
      <c r="B271" s="15"/>
      <c r="C271" s="11" t="s">
        <v>15</v>
      </c>
      <c r="D271" s="10" t="s">
        <v>28</v>
      </c>
    </row>
    <row r="272" spans="1:5" s="10" customFormat="1">
      <c r="A272" s="23">
        <v>272</v>
      </c>
      <c r="B272" s="15"/>
      <c r="C272" s="9" t="s">
        <v>16</v>
      </c>
      <c r="E272" s="15"/>
    </row>
    <row r="273" spans="1:5" s="10" customFormat="1">
      <c r="A273" s="23">
        <v>273</v>
      </c>
      <c r="B273" s="15"/>
      <c r="C273" s="9" t="s">
        <v>17</v>
      </c>
      <c r="E273" s="15"/>
    </row>
    <row r="274" spans="1:5" s="10" customFormat="1">
      <c r="A274" s="23">
        <v>274</v>
      </c>
      <c r="B274" s="15"/>
      <c r="C274" s="9" t="s">
        <v>18</v>
      </c>
      <c r="E274" s="15"/>
    </row>
    <row r="275" spans="1:5" s="10" customFormat="1">
      <c r="A275" s="23">
        <v>275</v>
      </c>
      <c r="B275" s="15"/>
      <c r="C275" s="9" t="s">
        <v>19</v>
      </c>
      <c r="E275" s="15"/>
    </row>
    <row r="276" spans="1:5" s="10" customFormat="1">
      <c r="A276" s="23">
        <v>276</v>
      </c>
      <c r="B276" s="15"/>
      <c r="C276" s="9" t="s">
        <v>20</v>
      </c>
      <c r="E276" s="15"/>
    </row>
    <row r="277" spans="1:5" s="10" customFormat="1">
      <c r="A277" s="23">
        <v>277</v>
      </c>
      <c r="B277" s="15"/>
      <c r="C277" s="9" t="s">
        <v>21</v>
      </c>
      <c r="E277" s="15"/>
    </row>
    <row r="278" spans="1:5" s="10" customFormat="1">
      <c r="A278" s="23">
        <v>278</v>
      </c>
      <c r="B278" s="15"/>
      <c r="C278" s="9" t="s">
        <v>22</v>
      </c>
      <c r="E278" s="15"/>
    </row>
    <row r="279" spans="1:5" s="10" customFormat="1">
      <c r="A279" s="23">
        <v>279</v>
      </c>
      <c r="B279" s="15"/>
      <c r="C279" s="9" t="s">
        <v>23</v>
      </c>
      <c r="E279" s="15"/>
    </row>
    <row r="280" spans="1:5" s="10" customFormat="1">
      <c r="A280" s="23">
        <v>280</v>
      </c>
      <c r="B280" s="15"/>
      <c r="C280" s="9" t="s">
        <v>24</v>
      </c>
      <c r="E280" s="15"/>
    </row>
    <row r="281" spans="1:5" s="10" customFormat="1">
      <c r="A281" s="23">
        <v>281</v>
      </c>
      <c r="B281" s="15"/>
      <c r="C281" s="9" t="s">
        <v>38</v>
      </c>
      <c r="E281" s="15"/>
    </row>
    <row r="282" spans="1:5" s="10" customFormat="1">
      <c r="A282" s="23">
        <v>282</v>
      </c>
      <c r="B282" s="15"/>
      <c r="C282" s="9" t="s">
        <v>39</v>
      </c>
    </row>
    <row r="283" spans="1:5" s="10" customFormat="1">
      <c r="A283" s="23">
        <v>283</v>
      </c>
      <c r="B283" s="15"/>
      <c r="C283" s="9" t="s">
        <v>229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4.2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/>
      <c r="C286" s="11" t="s">
        <v>15</v>
      </c>
      <c r="D286" s="10" t="s">
        <v>29</v>
      </c>
    </row>
    <row r="287" spans="1:5" s="10" customFormat="1">
      <c r="A287" s="23">
        <v>287</v>
      </c>
      <c r="B287" s="15"/>
      <c r="C287" s="9" t="s">
        <v>16</v>
      </c>
    </row>
    <row r="288" spans="1:5" s="10" customFormat="1">
      <c r="A288" s="23">
        <v>288</v>
      </c>
      <c r="B288" s="15"/>
      <c r="C288" s="9" t="s">
        <v>17</v>
      </c>
    </row>
    <row r="289" spans="1:4" s="10" customFormat="1">
      <c r="A289" s="23">
        <v>289</v>
      </c>
      <c r="B289" s="15"/>
      <c r="C289" s="9" t="s">
        <v>18</v>
      </c>
    </row>
    <row r="290" spans="1:4" s="10" customFormat="1">
      <c r="A290" s="23">
        <v>290</v>
      </c>
      <c r="B290" s="15"/>
      <c r="C290" s="9" t="s">
        <v>19</v>
      </c>
    </row>
    <row r="291" spans="1:4" s="10" customFormat="1">
      <c r="A291" s="23">
        <v>291</v>
      </c>
      <c r="B291" s="15"/>
      <c r="C291" s="9" t="s">
        <v>20</v>
      </c>
    </row>
    <row r="292" spans="1:4" s="10" customFormat="1">
      <c r="A292" s="23">
        <v>292</v>
      </c>
      <c r="B292" s="15"/>
      <c r="C292" s="9" t="s">
        <v>21</v>
      </c>
    </row>
    <row r="293" spans="1:4" s="10" customFormat="1">
      <c r="A293" s="23">
        <v>293</v>
      </c>
      <c r="B293" s="15"/>
      <c r="C293" s="9" t="s">
        <v>22</v>
      </c>
    </row>
    <row r="294" spans="1:4" s="10" customFormat="1">
      <c r="A294" s="23">
        <v>294</v>
      </c>
      <c r="B294" s="15"/>
      <c r="C294" s="9" t="s">
        <v>23</v>
      </c>
    </row>
    <row r="295" spans="1:4" s="10" customFormat="1">
      <c r="A295" s="23">
        <v>295</v>
      </c>
      <c r="B295" s="15"/>
      <c r="C295" s="9" t="s">
        <v>24</v>
      </c>
    </row>
    <row r="296" spans="1:4" s="10" customFormat="1">
      <c r="A296" s="23">
        <v>296</v>
      </c>
      <c r="B296" s="15"/>
      <c r="C296" s="9" t="s">
        <v>38</v>
      </c>
    </row>
    <row r="297" spans="1:4" s="10" customFormat="1">
      <c r="A297" s="23">
        <v>297</v>
      </c>
      <c r="B297" s="15"/>
      <c r="C297" s="9" t="s">
        <v>39</v>
      </c>
    </row>
    <row r="298" spans="1:4" s="10" customFormat="1">
      <c r="A298" s="23">
        <v>298</v>
      </c>
      <c r="B298" s="15"/>
      <c r="C298" s="9" t="s">
        <v>229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4.2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/>
      <c r="C301" s="11" t="s">
        <v>15</v>
      </c>
      <c r="D301" s="10" t="s">
        <v>30</v>
      </c>
    </row>
    <row r="302" spans="1:4" s="10" customFormat="1">
      <c r="A302" s="23">
        <v>302</v>
      </c>
      <c r="B302" s="15"/>
      <c r="C302" s="9" t="s">
        <v>16</v>
      </c>
    </row>
    <row r="303" spans="1:4" s="10" customFormat="1">
      <c r="A303" s="23">
        <v>303</v>
      </c>
      <c r="B303" s="15"/>
      <c r="C303" s="9" t="s">
        <v>17</v>
      </c>
    </row>
    <row r="304" spans="1:4" s="10" customFormat="1">
      <c r="A304" s="23">
        <v>304</v>
      </c>
      <c r="B304" s="15"/>
      <c r="C304" s="9" t="s">
        <v>18</v>
      </c>
    </row>
    <row r="305" spans="1:4" s="10" customFormat="1">
      <c r="A305" s="23">
        <v>305</v>
      </c>
      <c r="B305" s="15"/>
      <c r="C305" s="9" t="s">
        <v>19</v>
      </c>
    </row>
    <row r="306" spans="1:4" s="10" customFormat="1">
      <c r="A306" s="23">
        <v>306</v>
      </c>
      <c r="B306" s="15"/>
      <c r="C306" s="9" t="s">
        <v>20</v>
      </c>
    </row>
    <row r="307" spans="1:4" s="10" customFormat="1">
      <c r="A307" s="23">
        <v>307</v>
      </c>
      <c r="B307" s="15"/>
      <c r="C307" s="9" t="s">
        <v>21</v>
      </c>
    </row>
    <row r="308" spans="1:4" s="10" customFormat="1">
      <c r="A308" s="23">
        <v>308</v>
      </c>
      <c r="B308" s="15"/>
      <c r="C308" s="9" t="s">
        <v>22</v>
      </c>
    </row>
    <row r="309" spans="1:4" s="10" customFormat="1">
      <c r="A309" s="23">
        <v>309</v>
      </c>
      <c r="B309" s="15"/>
      <c r="C309" s="9" t="s">
        <v>23</v>
      </c>
    </row>
    <row r="310" spans="1:4" s="10" customFormat="1">
      <c r="A310" s="23">
        <v>310</v>
      </c>
      <c r="B310" s="15"/>
      <c r="C310" s="9" t="s">
        <v>24</v>
      </c>
    </row>
    <row r="311" spans="1:4" s="10" customFormat="1">
      <c r="A311" s="23">
        <v>311</v>
      </c>
      <c r="B311" s="15"/>
      <c r="C311" s="9" t="s">
        <v>38</v>
      </c>
    </row>
    <row r="312" spans="1:4" s="10" customFormat="1">
      <c r="A312" s="23">
        <v>312</v>
      </c>
      <c r="B312" s="15"/>
      <c r="C312" s="9" t="s">
        <v>39</v>
      </c>
    </row>
    <row r="313" spans="1:4" s="10" customFormat="1">
      <c r="A313" s="23">
        <v>313</v>
      </c>
      <c r="B313" s="15"/>
      <c r="C313" s="9" t="s">
        <v>229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4.2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15</v>
      </c>
      <c r="D316" s="10" t="s">
        <v>31</v>
      </c>
    </row>
    <row r="317" spans="1:4" s="10" customFormat="1">
      <c r="A317" s="23">
        <v>317</v>
      </c>
      <c r="B317" s="15"/>
      <c r="C317" s="9" t="s">
        <v>16</v>
      </c>
    </row>
    <row r="318" spans="1:4" s="10" customFormat="1">
      <c r="A318" s="23">
        <v>318</v>
      </c>
      <c r="B318" s="15"/>
      <c r="C318" s="9" t="s">
        <v>17</v>
      </c>
    </row>
    <row r="319" spans="1:4" s="10" customFormat="1">
      <c r="A319" s="23">
        <v>319</v>
      </c>
      <c r="B319" s="15"/>
      <c r="C319" s="9" t="s">
        <v>18</v>
      </c>
    </row>
    <row r="320" spans="1:4" s="10" customFormat="1">
      <c r="A320" s="23">
        <v>320</v>
      </c>
      <c r="B320" s="15"/>
      <c r="C320" s="9" t="s">
        <v>19</v>
      </c>
    </row>
    <row r="321" spans="1:4" s="10" customFormat="1">
      <c r="A321" s="23">
        <v>321</v>
      </c>
      <c r="B321" s="15"/>
      <c r="C321" s="9" t="s">
        <v>20</v>
      </c>
    </row>
    <row r="322" spans="1:4" s="10" customFormat="1">
      <c r="A322" s="23">
        <v>322</v>
      </c>
      <c r="B322" s="15"/>
      <c r="C322" s="9" t="s">
        <v>21</v>
      </c>
    </row>
    <row r="323" spans="1:4" s="10" customFormat="1">
      <c r="A323" s="23">
        <v>323</v>
      </c>
      <c r="B323" s="15"/>
      <c r="C323" s="9" t="s">
        <v>22</v>
      </c>
    </row>
    <row r="324" spans="1:4" s="10" customFormat="1">
      <c r="A324" s="23">
        <v>324</v>
      </c>
      <c r="B324" s="15"/>
      <c r="C324" s="9" t="s">
        <v>23</v>
      </c>
    </row>
    <row r="325" spans="1:4" s="10" customFormat="1">
      <c r="A325" s="23">
        <v>325</v>
      </c>
      <c r="B325" s="15"/>
      <c r="C325" s="9" t="s">
        <v>24</v>
      </c>
    </row>
    <row r="326" spans="1:4" s="10" customFormat="1">
      <c r="A326" s="23">
        <v>326</v>
      </c>
      <c r="B326" s="15"/>
      <c r="C326" s="9" t="s">
        <v>38</v>
      </c>
    </row>
    <row r="327" spans="1:4" s="10" customFormat="1">
      <c r="A327" s="23">
        <v>327</v>
      </c>
      <c r="B327" s="15"/>
      <c r="C327" s="9" t="s">
        <v>39</v>
      </c>
    </row>
    <row r="328" spans="1:4" s="10" customFormat="1">
      <c r="A328" s="23">
        <v>328</v>
      </c>
      <c r="B328" s="15"/>
      <c r="C328" s="9" t="s">
        <v>229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4.2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15</v>
      </c>
      <c r="D331" s="10" t="s">
        <v>32</v>
      </c>
    </row>
    <row r="332" spans="1:4" s="10" customFormat="1">
      <c r="A332" s="23">
        <v>332</v>
      </c>
      <c r="B332" s="15"/>
      <c r="C332" s="9" t="s">
        <v>16</v>
      </c>
    </row>
    <row r="333" spans="1:4" s="10" customFormat="1">
      <c r="A333" s="23">
        <v>333</v>
      </c>
      <c r="B333" s="15"/>
      <c r="C333" s="9" t="s">
        <v>17</v>
      </c>
    </row>
    <row r="334" spans="1:4" s="10" customFormat="1">
      <c r="A334" s="23">
        <v>334</v>
      </c>
      <c r="B334" s="15"/>
      <c r="C334" s="9" t="s">
        <v>18</v>
      </c>
    </row>
    <row r="335" spans="1:4" s="10" customFormat="1">
      <c r="A335" s="23">
        <v>335</v>
      </c>
      <c r="B335" s="15"/>
      <c r="C335" s="9" t="s">
        <v>19</v>
      </c>
    </row>
    <row r="336" spans="1:4" s="10" customFormat="1">
      <c r="A336" s="23">
        <v>336</v>
      </c>
      <c r="B336" s="15"/>
      <c r="C336" s="9" t="s">
        <v>20</v>
      </c>
    </row>
    <row r="337" spans="1:4" s="10" customFormat="1">
      <c r="A337" s="23">
        <v>337</v>
      </c>
      <c r="B337" s="15"/>
      <c r="C337" s="9" t="s">
        <v>21</v>
      </c>
    </row>
    <row r="338" spans="1:4" s="10" customFormat="1">
      <c r="A338" s="23">
        <v>338</v>
      </c>
      <c r="B338" s="15"/>
      <c r="C338" s="9" t="s">
        <v>22</v>
      </c>
    </row>
    <row r="339" spans="1:4" s="10" customFormat="1">
      <c r="A339" s="23">
        <v>339</v>
      </c>
      <c r="B339" s="15"/>
      <c r="C339" s="9" t="s">
        <v>23</v>
      </c>
    </row>
    <row r="340" spans="1:4" s="10" customFormat="1">
      <c r="A340" s="23">
        <v>340</v>
      </c>
      <c r="B340" s="15"/>
      <c r="C340" s="9" t="s">
        <v>24</v>
      </c>
    </row>
    <row r="341" spans="1:4" s="10" customFormat="1">
      <c r="A341" s="23">
        <v>341</v>
      </c>
      <c r="B341" s="15"/>
      <c r="C341" s="9" t="s">
        <v>38</v>
      </c>
    </row>
    <row r="342" spans="1:4" s="10" customFormat="1">
      <c r="A342" s="23">
        <v>342</v>
      </c>
      <c r="B342" s="15"/>
      <c r="C342" s="9" t="s">
        <v>39</v>
      </c>
    </row>
    <row r="343" spans="1:4" s="10" customFormat="1">
      <c r="A343" s="23">
        <v>343</v>
      </c>
      <c r="B343" s="15"/>
      <c r="C343" s="9" t="s">
        <v>229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4.2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15</v>
      </c>
      <c r="D346" s="10" t="s">
        <v>33</v>
      </c>
    </row>
    <row r="347" spans="1:4" s="10" customFormat="1">
      <c r="A347" s="23">
        <v>347</v>
      </c>
      <c r="B347" s="15"/>
      <c r="C347" s="9" t="s">
        <v>16</v>
      </c>
    </row>
    <row r="348" spans="1:4" s="10" customFormat="1">
      <c r="A348" s="23">
        <v>348</v>
      </c>
      <c r="B348" s="15"/>
      <c r="C348" s="9" t="s">
        <v>17</v>
      </c>
    </row>
    <row r="349" spans="1:4" s="10" customFormat="1">
      <c r="A349" s="23">
        <v>349</v>
      </c>
      <c r="B349" s="15"/>
      <c r="C349" s="9" t="s">
        <v>18</v>
      </c>
    </row>
    <row r="350" spans="1:4" s="10" customFormat="1">
      <c r="A350" s="23">
        <v>350</v>
      </c>
      <c r="B350" s="15"/>
      <c r="C350" s="9" t="s">
        <v>19</v>
      </c>
    </row>
    <row r="351" spans="1:4" s="10" customFormat="1">
      <c r="A351" s="23">
        <v>351</v>
      </c>
      <c r="B351" s="15"/>
      <c r="C351" s="9" t="s">
        <v>20</v>
      </c>
    </row>
    <row r="352" spans="1:4" s="10" customFormat="1">
      <c r="A352" s="23">
        <v>352</v>
      </c>
      <c r="B352" s="15"/>
      <c r="C352" s="9" t="s">
        <v>21</v>
      </c>
    </row>
    <row r="353" spans="1:4" s="10" customFormat="1">
      <c r="A353" s="23">
        <v>353</v>
      </c>
      <c r="B353" s="15"/>
      <c r="C353" s="9" t="s">
        <v>22</v>
      </c>
    </row>
    <row r="354" spans="1:4" s="10" customFormat="1">
      <c r="A354" s="23">
        <v>354</v>
      </c>
      <c r="B354" s="15"/>
      <c r="C354" s="9" t="s">
        <v>23</v>
      </c>
    </row>
    <row r="355" spans="1:4" s="10" customFormat="1">
      <c r="A355" s="23">
        <v>355</v>
      </c>
      <c r="B355" s="15"/>
      <c r="C355" s="9" t="s">
        <v>24</v>
      </c>
    </row>
    <row r="356" spans="1:4" s="10" customFormat="1">
      <c r="A356" s="23">
        <v>356</v>
      </c>
      <c r="B356" s="15"/>
      <c r="C356" s="9" t="s">
        <v>38</v>
      </c>
    </row>
    <row r="357" spans="1:4" s="10" customFormat="1">
      <c r="A357" s="23">
        <v>357</v>
      </c>
      <c r="B357" s="15"/>
      <c r="C357" s="9" t="s">
        <v>39</v>
      </c>
    </row>
    <row r="358" spans="1:4" s="10" customFormat="1">
      <c r="A358" s="23">
        <v>358</v>
      </c>
      <c r="B358" s="15"/>
      <c r="C358" s="9" t="s">
        <v>229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4.2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15</v>
      </c>
      <c r="D361" s="10" t="s">
        <v>34</v>
      </c>
    </row>
    <row r="362" spans="1:4" s="10" customFormat="1">
      <c r="A362" s="23">
        <v>362</v>
      </c>
      <c r="B362" s="15"/>
      <c r="C362" s="9" t="s">
        <v>16</v>
      </c>
    </row>
    <row r="363" spans="1:4" s="10" customFormat="1">
      <c r="A363" s="23">
        <v>363</v>
      </c>
      <c r="B363" s="15"/>
      <c r="C363" s="9" t="s">
        <v>17</v>
      </c>
    </row>
    <row r="364" spans="1:4" s="10" customFormat="1">
      <c r="A364" s="23">
        <v>364</v>
      </c>
      <c r="B364" s="15"/>
      <c r="C364" s="9" t="s">
        <v>18</v>
      </c>
    </row>
    <row r="365" spans="1:4" s="10" customFormat="1">
      <c r="A365" s="23">
        <v>365</v>
      </c>
      <c r="B365" s="15"/>
      <c r="C365" s="9" t="s">
        <v>19</v>
      </c>
    </row>
    <row r="366" spans="1:4" s="10" customFormat="1">
      <c r="A366" s="23">
        <v>366</v>
      </c>
      <c r="B366" s="15"/>
      <c r="C366" s="9" t="s">
        <v>20</v>
      </c>
    </row>
    <row r="367" spans="1:4" s="10" customFormat="1">
      <c r="A367" s="23">
        <v>367</v>
      </c>
      <c r="B367" s="15"/>
      <c r="C367" s="9" t="s">
        <v>21</v>
      </c>
    </row>
    <row r="368" spans="1:4" s="10" customFormat="1">
      <c r="A368" s="23">
        <v>368</v>
      </c>
      <c r="B368" s="15"/>
      <c r="C368" s="9" t="s">
        <v>22</v>
      </c>
    </row>
    <row r="369" spans="1:4" s="10" customFormat="1">
      <c r="A369" s="23">
        <v>369</v>
      </c>
      <c r="B369" s="15"/>
      <c r="C369" s="9" t="s">
        <v>23</v>
      </c>
    </row>
    <row r="370" spans="1:4" s="10" customFormat="1">
      <c r="A370" s="23">
        <v>370</v>
      </c>
      <c r="B370" s="15"/>
      <c r="C370" s="9" t="s">
        <v>24</v>
      </c>
    </row>
    <row r="371" spans="1:4" s="10" customFormat="1">
      <c r="A371" s="23">
        <v>371</v>
      </c>
      <c r="B371" s="15"/>
      <c r="C371" s="9" t="s">
        <v>38</v>
      </c>
    </row>
    <row r="372" spans="1:4" s="10" customFormat="1">
      <c r="A372" s="23">
        <v>372</v>
      </c>
      <c r="B372" s="15"/>
      <c r="C372" s="9" t="s">
        <v>39</v>
      </c>
    </row>
    <row r="373" spans="1:4" s="10" customFormat="1">
      <c r="A373" s="23">
        <v>373</v>
      </c>
      <c r="B373" s="15"/>
      <c r="C373" s="9" t="s">
        <v>229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4.2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15</v>
      </c>
      <c r="D376" s="10" t="s">
        <v>35</v>
      </c>
    </row>
    <row r="377" spans="1:4" s="10" customFormat="1">
      <c r="A377" s="23">
        <v>377</v>
      </c>
      <c r="B377" s="15"/>
      <c r="C377" s="9" t="s">
        <v>16</v>
      </c>
    </row>
    <row r="378" spans="1:4" s="10" customFormat="1">
      <c r="A378" s="23">
        <v>378</v>
      </c>
      <c r="B378" s="15"/>
      <c r="C378" s="9" t="s">
        <v>17</v>
      </c>
    </row>
    <row r="379" spans="1:4" s="10" customFormat="1">
      <c r="A379" s="23">
        <v>379</v>
      </c>
      <c r="B379" s="15"/>
      <c r="C379" s="9" t="s">
        <v>18</v>
      </c>
    </row>
    <row r="380" spans="1:4" s="10" customFormat="1">
      <c r="A380" s="23">
        <v>380</v>
      </c>
      <c r="B380" s="15"/>
      <c r="C380" s="9" t="s">
        <v>19</v>
      </c>
    </row>
    <row r="381" spans="1:4" s="10" customFormat="1">
      <c r="A381" s="23">
        <v>381</v>
      </c>
      <c r="B381" s="15"/>
      <c r="C381" s="9" t="s">
        <v>20</v>
      </c>
    </row>
    <row r="382" spans="1:4" s="10" customFormat="1">
      <c r="A382" s="23">
        <v>382</v>
      </c>
      <c r="B382" s="15"/>
      <c r="C382" s="9" t="s">
        <v>21</v>
      </c>
    </row>
    <row r="383" spans="1:4" s="10" customFormat="1">
      <c r="A383" s="23">
        <v>383</v>
      </c>
      <c r="B383" s="15"/>
      <c r="C383" s="9" t="s">
        <v>22</v>
      </c>
    </row>
    <row r="384" spans="1:4" s="10" customFormat="1">
      <c r="A384" s="23">
        <v>384</v>
      </c>
      <c r="B384" s="15"/>
      <c r="C384" s="9" t="s">
        <v>23</v>
      </c>
    </row>
    <row r="385" spans="1:4" s="10" customFormat="1">
      <c r="A385" s="23">
        <v>385</v>
      </c>
      <c r="B385" s="15"/>
      <c r="C385" s="9" t="s">
        <v>24</v>
      </c>
    </row>
    <row r="386" spans="1:4" s="10" customFormat="1">
      <c r="A386" s="23">
        <v>386</v>
      </c>
      <c r="B386" s="15"/>
      <c r="C386" s="9" t="s">
        <v>38</v>
      </c>
    </row>
    <row r="387" spans="1:4" s="10" customFormat="1">
      <c r="A387" s="23">
        <v>387</v>
      </c>
      <c r="B387" s="15"/>
      <c r="C387" s="9" t="s">
        <v>39</v>
      </c>
    </row>
    <row r="388" spans="1:4" s="10" customFormat="1">
      <c r="A388" s="23">
        <v>388</v>
      </c>
      <c r="B388" s="15"/>
      <c r="C388" s="9" t="s">
        <v>229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4.2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15</v>
      </c>
      <c r="D391" s="10" t="s">
        <v>36</v>
      </c>
    </row>
    <row r="392" spans="1:4" s="10" customFormat="1">
      <c r="A392" s="23">
        <v>392</v>
      </c>
      <c r="B392" s="15"/>
      <c r="C392" s="9" t="s">
        <v>16</v>
      </c>
    </row>
    <row r="393" spans="1:4" s="10" customFormat="1">
      <c r="A393" s="23">
        <v>393</v>
      </c>
      <c r="B393" s="15"/>
      <c r="C393" s="9" t="s">
        <v>17</v>
      </c>
    </row>
    <row r="394" spans="1:4" s="10" customFormat="1">
      <c r="A394" s="23">
        <v>394</v>
      </c>
      <c r="B394" s="15"/>
      <c r="C394" s="9" t="s">
        <v>18</v>
      </c>
    </row>
    <row r="395" spans="1:4" s="10" customFormat="1">
      <c r="A395" s="23">
        <v>395</v>
      </c>
      <c r="B395" s="15"/>
      <c r="C395" s="9" t="s">
        <v>19</v>
      </c>
    </row>
    <row r="396" spans="1:4" s="10" customFormat="1">
      <c r="A396" s="23">
        <v>396</v>
      </c>
      <c r="B396" s="15"/>
      <c r="C396" s="9" t="s">
        <v>20</v>
      </c>
    </row>
    <row r="397" spans="1:4" s="10" customFormat="1">
      <c r="A397" s="23">
        <v>397</v>
      </c>
      <c r="B397" s="15"/>
      <c r="C397" s="9" t="s">
        <v>21</v>
      </c>
    </row>
    <row r="398" spans="1:4" s="10" customFormat="1">
      <c r="A398" s="23">
        <v>398</v>
      </c>
      <c r="B398" s="15"/>
      <c r="C398" s="9" t="s">
        <v>22</v>
      </c>
    </row>
    <row r="399" spans="1:4" s="10" customFormat="1">
      <c r="A399" s="23">
        <v>399</v>
      </c>
      <c r="B399" s="15"/>
      <c r="C399" s="9" t="s">
        <v>23</v>
      </c>
    </row>
    <row r="400" spans="1:4" s="10" customFormat="1">
      <c r="A400" s="23">
        <v>400</v>
      </c>
      <c r="B400" s="15"/>
      <c r="C400" s="9" t="s">
        <v>24</v>
      </c>
    </row>
    <row r="401" spans="1:4" s="10" customFormat="1">
      <c r="A401" s="23">
        <v>401</v>
      </c>
      <c r="B401" s="15"/>
      <c r="C401" s="9" t="s">
        <v>38</v>
      </c>
    </row>
    <row r="402" spans="1:4" s="10" customFormat="1">
      <c r="A402" s="23">
        <v>402</v>
      </c>
      <c r="B402" s="15"/>
      <c r="C402" s="9" t="s">
        <v>39</v>
      </c>
    </row>
    <row r="403" spans="1:4" s="10" customFormat="1">
      <c r="A403" s="23">
        <v>403</v>
      </c>
      <c r="B403" s="15"/>
      <c r="C403" s="9" t="s">
        <v>229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4.2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15</v>
      </c>
      <c r="D406" s="10" t="s">
        <v>37</v>
      </c>
    </row>
    <row r="407" spans="1:4" s="10" customFormat="1">
      <c r="A407" s="23">
        <v>407</v>
      </c>
      <c r="B407" s="15"/>
      <c r="C407" s="9" t="s">
        <v>16</v>
      </c>
    </row>
    <row r="408" spans="1:4" s="10" customFormat="1">
      <c r="A408" s="23">
        <v>408</v>
      </c>
      <c r="B408" s="15"/>
      <c r="C408" s="9" t="s">
        <v>17</v>
      </c>
    </row>
    <row r="409" spans="1:4" s="10" customFormat="1">
      <c r="A409" s="23">
        <v>409</v>
      </c>
      <c r="B409" s="15"/>
      <c r="C409" s="9" t="s">
        <v>18</v>
      </c>
    </row>
    <row r="410" spans="1:4" s="10" customFormat="1">
      <c r="A410" s="23">
        <v>410</v>
      </c>
      <c r="B410" s="15"/>
      <c r="C410" s="9" t="s">
        <v>19</v>
      </c>
    </row>
    <row r="411" spans="1:4" s="10" customFormat="1">
      <c r="A411" s="23">
        <v>411</v>
      </c>
      <c r="B411" s="15"/>
      <c r="C411" s="9" t="s">
        <v>20</v>
      </c>
    </row>
    <row r="412" spans="1:4" s="10" customFormat="1">
      <c r="A412" s="23">
        <v>412</v>
      </c>
      <c r="B412" s="15"/>
      <c r="C412" s="9" t="s">
        <v>21</v>
      </c>
    </row>
    <row r="413" spans="1:4" s="10" customFormat="1">
      <c r="A413" s="23">
        <v>413</v>
      </c>
      <c r="B413" s="15"/>
      <c r="C413" s="9" t="s">
        <v>22</v>
      </c>
    </row>
    <row r="414" spans="1:4" s="10" customFormat="1">
      <c r="A414" s="23">
        <v>414</v>
      </c>
      <c r="B414" s="15"/>
      <c r="C414" s="9" t="s">
        <v>23</v>
      </c>
    </row>
    <row r="415" spans="1:4" s="10" customFormat="1">
      <c r="A415" s="23">
        <v>415</v>
      </c>
      <c r="B415" s="15"/>
      <c r="C415" s="9" t="s">
        <v>24</v>
      </c>
    </row>
    <row r="416" spans="1:4" s="10" customFormat="1">
      <c r="A416" s="23">
        <v>416</v>
      </c>
      <c r="B416" s="15"/>
      <c r="C416" s="9" t="s">
        <v>38</v>
      </c>
    </row>
    <row r="417" spans="1:4" s="10" customFormat="1">
      <c r="A417" s="23">
        <v>417</v>
      </c>
      <c r="B417" s="15"/>
      <c r="C417" s="9" t="s">
        <v>39</v>
      </c>
    </row>
    <row r="418" spans="1:4" s="10" customFormat="1">
      <c r="A418" s="23">
        <v>418</v>
      </c>
      <c r="B418" s="15"/>
      <c r="C418" s="9" t="s">
        <v>229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4.2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15</v>
      </c>
      <c r="D421" s="10" t="s">
        <v>243</v>
      </c>
    </row>
    <row r="422" spans="1:4" s="10" customFormat="1">
      <c r="A422" s="23">
        <v>422</v>
      </c>
      <c r="B422" s="15"/>
      <c r="C422" s="9" t="s">
        <v>16</v>
      </c>
    </row>
    <row r="423" spans="1:4" s="10" customFormat="1">
      <c r="A423" s="23">
        <v>423</v>
      </c>
      <c r="B423" s="15"/>
      <c r="C423" s="9" t="s">
        <v>17</v>
      </c>
    </row>
    <row r="424" spans="1:4" s="10" customFormat="1">
      <c r="A424" s="23">
        <v>424</v>
      </c>
      <c r="B424" s="15"/>
      <c r="C424" s="9" t="s">
        <v>18</v>
      </c>
    </row>
    <row r="425" spans="1:4" s="10" customFormat="1">
      <c r="A425" s="23">
        <v>425</v>
      </c>
      <c r="B425" s="15"/>
      <c r="C425" s="9" t="s">
        <v>19</v>
      </c>
    </row>
    <row r="426" spans="1:4" s="10" customFormat="1">
      <c r="A426" s="23">
        <v>426</v>
      </c>
      <c r="B426" s="15"/>
      <c r="C426" s="9" t="s">
        <v>20</v>
      </c>
    </row>
    <row r="427" spans="1:4" s="10" customFormat="1">
      <c r="A427" s="23">
        <v>427</v>
      </c>
      <c r="B427" s="15"/>
      <c r="C427" s="9" t="s">
        <v>21</v>
      </c>
    </row>
    <row r="428" spans="1:4" s="10" customFormat="1">
      <c r="A428" s="23">
        <v>428</v>
      </c>
      <c r="B428" s="15"/>
      <c r="C428" s="9" t="s">
        <v>22</v>
      </c>
    </row>
    <row r="429" spans="1:4" s="10" customFormat="1">
      <c r="A429" s="23">
        <v>429</v>
      </c>
      <c r="B429" s="15"/>
      <c r="C429" s="9" t="s">
        <v>23</v>
      </c>
    </row>
    <row r="430" spans="1:4" s="10" customFormat="1">
      <c r="A430" s="23">
        <v>430</v>
      </c>
      <c r="B430" s="15"/>
      <c r="C430" s="9" t="s">
        <v>24</v>
      </c>
    </row>
    <row r="431" spans="1:4" s="10" customFormat="1">
      <c r="A431" s="23">
        <v>431</v>
      </c>
      <c r="B431" s="15"/>
      <c r="C431" s="9" t="s">
        <v>38</v>
      </c>
    </row>
    <row r="432" spans="1:4" s="10" customFormat="1">
      <c r="A432" s="23">
        <v>432</v>
      </c>
      <c r="B432" s="15"/>
      <c r="C432" s="9" t="s">
        <v>39</v>
      </c>
    </row>
    <row r="433" spans="1:4" s="10" customFormat="1">
      <c r="A433" s="23">
        <v>433</v>
      </c>
      <c r="B433" s="15"/>
      <c r="C433" s="9" t="s">
        <v>229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4.2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15</v>
      </c>
      <c r="D436" s="10" t="s">
        <v>244</v>
      </c>
    </row>
    <row r="437" spans="1:4" s="10" customFormat="1">
      <c r="A437" s="23">
        <v>437</v>
      </c>
      <c r="B437" s="15"/>
      <c r="C437" s="9" t="s">
        <v>16</v>
      </c>
    </row>
    <row r="438" spans="1:4" s="10" customFormat="1">
      <c r="A438" s="23">
        <v>438</v>
      </c>
      <c r="B438" s="15"/>
      <c r="C438" s="9" t="s">
        <v>17</v>
      </c>
    </row>
    <row r="439" spans="1:4" s="10" customFormat="1">
      <c r="A439" s="23">
        <v>439</v>
      </c>
      <c r="B439" s="15"/>
      <c r="C439" s="9" t="s">
        <v>18</v>
      </c>
    </row>
    <row r="440" spans="1:4" s="10" customFormat="1">
      <c r="A440" s="23">
        <v>440</v>
      </c>
      <c r="B440" s="15"/>
      <c r="C440" s="9" t="s">
        <v>19</v>
      </c>
    </row>
    <row r="441" spans="1:4" s="10" customFormat="1">
      <c r="A441" s="23">
        <v>441</v>
      </c>
      <c r="B441" s="15"/>
      <c r="C441" s="9" t="s">
        <v>20</v>
      </c>
    </row>
    <row r="442" spans="1:4" s="10" customFormat="1">
      <c r="A442" s="23">
        <v>442</v>
      </c>
      <c r="B442" s="15"/>
      <c r="C442" s="9" t="s">
        <v>21</v>
      </c>
    </row>
    <row r="443" spans="1:4" s="10" customFormat="1">
      <c r="A443" s="23">
        <v>443</v>
      </c>
      <c r="B443" s="15"/>
      <c r="C443" s="9" t="s">
        <v>22</v>
      </c>
    </row>
    <row r="444" spans="1:4" s="10" customFormat="1">
      <c r="A444" s="23">
        <v>444</v>
      </c>
      <c r="B444" s="15"/>
      <c r="C444" s="9" t="s">
        <v>23</v>
      </c>
    </row>
    <row r="445" spans="1:4" s="10" customFormat="1">
      <c r="A445" s="23">
        <v>445</v>
      </c>
      <c r="B445" s="15"/>
      <c r="C445" s="9" t="s">
        <v>24</v>
      </c>
    </row>
    <row r="446" spans="1:4" s="10" customFormat="1">
      <c r="A446" s="23">
        <v>446</v>
      </c>
      <c r="B446" s="15"/>
      <c r="C446" s="9" t="s">
        <v>38</v>
      </c>
    </row>
    <row r="447" spans="1:4" s="10" customFormat="1">
      <c r="A447" s="23">
        <v>447</v>
      </c>
      <c r="B447" s="15"/>
      <c r="C447" s="9" t="s">
        <v>39</v>
      </c>
    </row>
    <row r="448" spans="1:4" s="10" customFormat="1">
      <c r="A448" s="23">
        <v>448</v>
      </c>
      <c r="B448" s="15"/>
      <c r="C448" s="9" t="s">
        <v>229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4.2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15</v>
      </c>
      <c r="D451" s="10" t="s">
        <v>245</v>
      </c>
    </row>
    <row r="452" spans="1:4" s="10" customFormat="1">
      <c r="A452" s="23">
        <v>452</v>
      </c>
      <c r="B452" s="15"/>
      <c r="C452" s="9" t="s">
        <v>16</v>
      </c>
    </row>
    <row r="453" spans="1:4" s="10" customFormat="1">
      <c r="A453" s="23">
        <v>453</v>
      </c>
      <c r="B453" s="15"/>
      <c r="C453" s="9" t="s">
        <v>17</v>
      </c>
    </row>
    <row r="454" spans="1:4" s="10" customFormat="1">
      <c r="A454" s="23">
        <v>454</v>
      </c>
      <c r="B454" s="15"/>
      <c r="C454" s="9" t="s">
        <v>18</v>
      </c>
    </row>
    <row r="455" spans="1:4" s="10" customFormat="1">
      <c r="A455" s="23">
        <v>455</v>
      </c>
      <c r="B455" s="15"/>
      <c r="C455" s="9" t="s">
        <v>19</v>
      </c>
    </row>
    <row r="456" spans="1:4" s="10" customFormat="1">
      <c r="A456" s="23">
        <v>456</v>
      </c>
      <c r="B456" s="15"/>
      <c r="C456" s="9" t="s">
        <v>20</v>
      </c>
    </row>
    <row r="457" spans="1:4" s="10" customFormat="1">
      <c r="A457" s="23">
        <v>457</v>
      </c>
      <c r="B457" s="15"/>
      <c r="C457" s="9" t="s">
        <v>21</v>
      </c>
    </row>
    <row r="458" spans="1:4" s="10" customFormat="1">
      <c r="A458" s="23">
        <v>458</v>
      </c>
      <c r="B458" s="15"/>
      <c r="C458" s="9" t="s">
        <v>22</v>
      </c>
    </row>
    <row r="459" spans="1:4" s="10" customFormat="1">
      <c r="A459" s="23">
        <v>459</v>
      </c>
      <c r="B459" s="15"/>
      <c r="C459" s="9" t="s">
        <v>23</v>
      </c>
    </row>
    <row r="460" spans="1:4" s="10" customFormat="1">
      <c r="A460" s="23">
        <v>460</v>
      </c>
      <c r="B460" s="15"/>
      <c r="C460" s="9" t="s">
        <v>24</v>
      </c>
    </row>
    <row r="461" spans="1:4" s="10" customFormat="1">
      <c r="A461" s="23">
        <v>461</v>
      </c>
      <c r="B461" s="15"/>
      <c r="C461" s="9" t="s">
        <v>38</v>
      </c>
    </row>
    <row r="462" spans="1:4" s="10" customFormat="1">
      <c r="A462" s="23">
        <v>462</v>
      </c>
      <c r="B462" s="15"/>
      <c r="C462" s="9" t="s">
        <v>39</v>
      </c>
    </row>
    <row r="463" spans="1:4" s="10" customFormat="1">
      <c r="A463" s="23">
        <v>463</v>
      </c>
      <c r="B463" s="15"/>
      <c r="C463" s="9" t="s">
        <v>229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4.2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15</v>
      </c>
      <c r="D466" s="10" t="s">
        <v>246</v>
      </c>
    </row>
    <row r="467" spans="1:4" s="10" customFormat="1">
      <c r="A467" s="23">
        <v>467</v>
      </c>
      <c r="B467" s="15"/>
      <c r="C467" s="9" t="s">
        <v>16</v>
      </c>
    </row>
    <row r="468" spans="1:4" s="10" customFormat="1">
      <c r="A468" s="23">
        <v>468</v>
      </c>
      <c r="B468" s="15"/>
      <c r="C468" s="9" t="s">
        <v>17</v>
      </c>
    </row>
    <row r="469" spans="1:4" s="10" customFormat="1">
      <c r="A469" s="23">
        <v>469</v>
      </c>
      <c r="B469" s="15"/>
      <c r="C469" s="9" t="s">
        <v>18</v>
      </c>
    </row>
    <row r="470" spans="1:4" s="10" customFormat="1">
      <c r="A470" s="23">
        <v>470</v>
      </c>
      <c r="B470" s="15"/>
      <c r="C470" s="9" t="s">
        <v>19</v>
      </c>
    </row>
    <row r="471" spans="1:4" s="10" customFormat="1">
      <c r="A471" s="23">
        <v>471</v>
      </c>
      <c r="B471" s="15"/>
      <c r="C471" s="9" t="s">
        <v>20</v>
      </c>
    </row>
    <row r="472" spans="1:4" s="10" customFormat="1">
      <c r="A472" s="23">
        <v>472</v>
      </c>
      <c r="B472" s="15"/>
      <c r="C472" s="9" t="s">
        <v>21</v>
      </c>
    </row>
    <row r="473" spans="1:4" s="10" customFormat="1">
      <c r="A473" s="23">
        <v>473</v>
      </c>
      <c r="B473" s="15"/>
      <c r="C473" s="9" t="s">
        <v>22</v>
      </c>
    </row>
    <row r="474" spans="1:4" s="10" customFormat="1">
      <c r="A474" s="23">
        <v>474</v>
      </c>
      <c r="B474" s="15"/>
      <c r="C474" s="9" t="s">
        <v>23</v>
      </c>
    </row>
    <row r="475" spans="1:4" s="10" customFormat="1">
      <c r="A475" s="23">
        <v>475</v>
      </c>
      <c r="B475" s="15"/>
      <c r="C475" s="9" t="s">
        <v>24</v>
      </c>
    </row>
    <row r="476" spans="1:4" s="10" customFormat="1">
      <c r="A476" s="23">
        <v>476</v>
      </c>
      <c r="B476" s="15"/>
      <c r="C476" s="9" t="s">
        <v>38</v>
      </c>
    </row>
    <row r="477" spans="1:4" s="10" customFormat="1">
      <c r="A477" s="23">
        <v>477</v>
      </c>
      <c r="B477" s="15"/>
      <c r="C477" s="9" t="s">
        <v>39</v>
      </c>
    </row>
    <row r="478" spans="1:4" s="10" customFormat="1">
      <c r="A478" s="23">
        <v>478</v>
      </c>
      <c r="B478" s="15"/>
      <c r="C478" s="9" t="s">
        <v>229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4.2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15</v>
      </c>
      <c r="D481" s="10" t="s">
        <v>247</v>
      </c>
    </row>
    <row r="482" spans="1:4" s="10" customFormat="1">
      <c r="A482" s="23">
        <v>482</v>
      </c>
      <c r="B482" s="15"/>
      <c r="C482" s="9" t="s">
        <v>16</v>
      </c>
    </row>
    <row r="483" spans="1:4" s="10" customFormat="1">
      <c r="A483" s="23">
        <v>483</v>
      </c>
      <c r="B483" s="15"/>
      <c r="C483" s="9" t="s">
        <v>17</v>
      </c>
    </row>
    <row r="484" spans="1:4" s="10" customFormat="1">
      <c r="A484" s="23">
        <v>484</v>
      </c>
      <c r="B484" s="15"/>
      <c r="C484" s="9" t="s">
        <v>18</v>
      </c>
    </row>
    <row r="485" spans="1:4" s="10" customFormat="1">
      <c r="A485" s="23">
        <v>485</v>
      </c>
      <c r="B485" s="15"/>
      <c r="C485" s="9" t="s">
        <v>19</v>
      </c>
    </row>
    <row r="486" spans="1:4" s="10" customFormat="1">
      <c r="A486" s="23">
        <v>486</v>
      </c>
      <c r="B486" s="15"/>
      <c r="C486" s="9" t="s">
        <v>20</v>
      </c>
    </row>
    <row r="487" spans="1:4" s="10" customFormat="1">
      <c r="A487" s="23">
        <v>487</v>
      </c>
      <c r="B487" s="15"/>
      <c r="C487" s="9" t="s">
        <v>21</v>
      </c>
    </row>
    <row r="488" spans="1:4" s="10" customFormat="1">
      <c r="A488" s="23">
        <v>488</v>
      </c>
      <c r="B488" s="15"/>
      <c r="C488" s="9" t="s">
        <v>22</v>
      </c>
    </row>
    <row r="489" spans="1:4" s="10" customFormat="1">
      <c r="A489" s="23">
        <v>489</v>
      </c>
      <c r="B489" s="15"/>
      <c r="C489" s="9" t="s">
        <v>23</v>
      </c>
    </row>
    <row r="490" spans="1:4" s="10" customFormat="1">
      <c r="A490" s="23">
        <v>490</v>
      </c>
      <c r="B490" s="15"/>
      <c r="C490" s="9" t="s">
        <v>24</v>
      </c>
    </row>
    <row r="491" spans="1:4" s="10" customFormat="1">
      <c r="A491" s="23">
        <v>491</v>
      </c>
      <c r="B491" s="15"/>
      <c r="C491" s="9" t="s">
        <v>38</v>
      </c>
    </row>
    <row r="492" spans="1:4" s="10" customFormat="1">
      <c r="A492" s="23">
        <v>492</v>
      </c>
      <c r="B492" s="15"/>
      <c r="C492" s="9" t="s">
        <v>39</v>
      </c>
    </row>
    <row r="493" spans="1:4" s="10" customFormat="1">
      <c r="A493" s="23">
        <v>493</v>
      </c>
      <c r="B493" s="15"/>
      <c r="C493" s="9" t="s">
        <v>229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4.2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C496" s="18" t="s">
        <v>15</v>
      </c>
      <c r="D496" s="19" t="s">
        <v>220</v>
      </c>
    </row>
    <row r="497" spans="1:4" s="19" customFormat="1">
      <c r="A497" s="23">
        <v>497</v>
      </c>
      <c r="C497" s="18" t="s">
        <v>16</v>
      </c>
    </row>
    <row r="498" spans="1:4" s="19" customFormat="1">
      <c r="A498" s="23">
        <v>498</v>
      </c>
      <c r="C498" s="18" t="s">
        <v>17</v>
      </c>
    </row>
    <row r="499" spans="1:4" s="19" customFormat="1">
      <c r="A499" s="23">
        <v>499</v>
      </c>
      <c r="C499" s="18" t="s">
        <v>18</v>
      </c>
    </row>
    <row r="500" spans="1:4" s="19" customFormat="1">
      <c r="A500" s="23">
        <v>500</v>
      </c>
      <c r="C500" s="18" t="s">
        <v>19</v>
      </c>
    </row>
    <row r="501" spans="1:4" s="19" customFormat="1">
      <c r="A501" s="23">
        <v>501</v>
      </c>
      <c r="C501" s="18" t="s">
        <v>20</v>
      </c>
    </row>
    <row r="502" spans="1:4" s="19" customFormat="1">
      <c r="A502" s="23">
        <v>502</v>
      </c>
      <c r="C502" s="18" t="s">
        <v>21</v>
      </c>
    </row>
    <row r="503" spans="1:4" s="19" customFormat="1">
      <c r="A503" s="23">
        <v>503</v>
      </c>
      <c r="C503" s="18" t="s">
        <v>22</v>
      </c>
    </row>
    <row r="504" spans="1:4" s="19" customFormat="1">
      <c r="A504" s="23">
        <v>504</v>
      </c>
      <c r="C504" s="18" t="s">
        <v>23</v>
      </c>
    </row>
    <row r="505" spans="1:4" s="19" customFormat="1">
      <c r="A505" s="23">
        <v>505</v>
      </c>
      <c r="C505" s="18" t="s">
        <v>24</v>
      </c>
    </row>
    <row r="506" spans="1:4" s="19" customFormat="1">
      <c r="A506" s="23">
        <v>506</v>
      </c>
      <c r="C506" s="18" t="s">
        <v>14</v>
      </c>
    </row>
    <row r="507" spans="1:4" s="19" customFormat="1">
      <c r="A507" s="23">
        <v>507</v>
      </c>
      <c r="C507" s="18" t="s">
        <v>38</v>
      </c>
    </row>
    <row r="508" spans="1:4" s="19" customFormat="1">
      <c r="A508" s="23">
        <v>508</v>
      </c>
      <c r="C508" s="18" t="s">
        <v>39</v>
      </c>
    </row>
    <row r="509" spans="1:4" s="19" customFormat="1">
      <c r="A509" s="23">
        <v>509</v>
      </c>
      <c r="C509" s="18" t="s">
        <v>8</v>
      </c>
    </row>
    <row r="510" spans="1:4" s="19" customFormat="1" ht="14.2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C511" s="18" t="s">
        <v>15</v>
      </c>
      <c r="D511" s="19" t="s">
        <v>221</v>
      </c>
    </row>
    <row r="512" spans="1:4" s="19" customFormat="1">
      <c r="A512" s="23">
        <v>512</v>
      </c>
      <c r="C512" s="18" t="s">
        <v>16</v>
      </c>
    </row>
    <row r="513" spans="1:4" s="19" customFormat="1">
      <c r="A513" s="23">
        <v>513</v>
      </c>
      <c r="C513" s="18" t="s">
        <v>17</v>
      </c>
    </row>
    <row r="514" spans="1:4" s="19" customFormat="1">
      <c r="A514" s="23">
        <v>514</v>
      </c>
      <c r="C514" s="18" t="s">
        <v>18</v>
      </c>
    </row>
    <row r="515" spans="1:4" s="19" customFormat="1">
      <c r="A515" s="23">
        <v>515</v>
      </c>
      <c r="C515" s="18" t="s">
        <v>19</v>
      </c>
    </row>
    <row r="516" spans="1:4" s="19" customFormat="1">
      <c r="A516" s="23">
        <v>516</v>
      </c>
      <c r="C516" s="18" t="s">
        <v>20</v>
      </c>
    </row>
    <row r="517" spans="1:4" s="19" customFormat="1">
      <c r="A517" s="23">
        <v>517</v>
      </c>
      <c r="C517" s="18" t="s">
        <v>21</v>
      </c>
    </row>
    <row r="518" spans="1:4" s="19" customFormat="1">
      <c r="A518" s="23">
        <v>518</v>
      </c>
      <c r="C518" s="18" t="s">
        <v>22</v>
      </c>
    </row>
    <row r="519" spans="1:4" s="19" customFormat="1">
      <c r="A519" s="23">
        <v>519</v>
      </c>
      <c r="C519" s="18" t="s">
        <v>23</v>
      </c>
    </row>
    <row r="520" spans="1:4" s="19" customFormat="1">
      <c r="A520" s="23">
        <v>520</v>
      </c>
      <c r="C520" s="18" t="s">
        <v>24</v>
      </c>
    </row>
    <row r="521" spans="1:4" s="19" customFormat="1">
      <c r="A521" s="23">
        <v>521</v>
      </c>
      <c r="C521" s="18" t="s">
        <v>14</v>
      </c>
    </row>
    <row r="522" spans="1:4" s="19" customFormat="1">
      <c r="A522" s="23">
        <v>522</v>
      </c>
      <c r="C522" s="18" t="s">
        <v>38</v>
      </c>
    </row>
    <row r="523" spans="1:4" s="19" customFormat="1">
      <c r="A523" s="23">
        <v>523</v>
      </c>
      <c r="C523" s="18" t="s">
        <v>39</v>
      </c>
    </row>
    <row r="524" spans="1:4" s="19" customFormat="1">
      <c r="A524" s="23">
        <v>524</v>
      </c>
      <c r="C524" s="18" t="s">
        <v>8</v>
      </c>
    </row>
    <row r="525" spans="1:4" s="19" customFormat="1" ht="14.2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C526" s="18" t="s">
        <v>15</v>
      </c>
      <c r="D526" s="19" t="s">
        <v>222</v>
      </c>
    </row>
    <row r="527" spans="1:4" s="19" customFormat="1">
      <c r="A527" s="23">
        <v>527</v>
      </c>
      <c r="C527" s="18" t="s">
        <v>16</v>
      </c>
    </row>
    <row r="528" spans="1:4" s="19" customFormat="1">
      <c r="A528" s="23">
        <v>528</v>
      </c>
      <c r="C528" s="18" t="s">
        <v>17</v>
      </c>
    </row>
    <row r="529" spans="1:4" s="19" customFormat="1">
      <c r="A529" s="23">
        <v>529</v>
      </c>
      <c r="C529" s="18" t="s">
        <v>18</v>
      </c>
    </row>
    <row r="530" spans="1:4" s="19" customFormat="1">
      <c r="A530" s="23">
        <v>530</v>
      </c>
      <c r="C530" s="18" t="s">
        <v>19</v>
      </c>
    </row>
    <row r="531" spans="1:4" s="19" customFormat="1">
      <c r="A531" s="23">
        <v>531</v>
      </c>
      <c r="C531" s="18" t="s">
        <v>20</v>
      </c>
    </row>
    <row r="532" spans="1:4" s="19" customFormat="1">
      <c r="A532" s="23">
        <v>532</v>
      </c>
      <c r="C532" s="18" t="s">
        <v>21</v>
      </c>
    </row>
    <row r="533" spans="1:4" s="19" customFormat="1">
      <c r="A533" s="23">
        <v>533</v>
      </c>
      <c r="C533" s="18" t="s">
        <v>22</v>
      </c>
    </row>
    <row r="534" spans="1:4" s="19" customFormat="1">
      <c r="A534" s="23">
        <v>534</v>
      </c>
      <c r="C534" s="18" t="s">
        <v>23</v>
      </c>
    </row>
    <row r="535" spans="1:4" s="19" customFormat="1">
      <c r="A535" s="23">
        <v>535</v>
      </c>
      <c r="C535" s="18" t="s">
        <v>24</v>
      </c>
    </row>
    <row r="536" spans="1:4" s="19" customFormat="1">
      <c r="A536" s="23">
        <v>536</v>
      </c>
      <c r="C536" s="18" t="s">
        <v>14</v>
      </c>
    </row>
    <row r="537" spans="1:4" s="19" customFormat="1">
      <c r="A537" s="23">
        <v>537</v>
      </c>
      <c r="C537" s="18" t="s">
        <v>38</v>
      </c>
    </row>
    <row r="538" spans="1:4" s="19" customFormat="1">
      <c r="A538" s="23">
        <v>538</v>
      </c>
      <c r="C538" s="18" t="s">
        <v>39</v>
      </c>
    </row>
    <row r="539" spans="1:4" s="19" customFormat="1">
      <c r="A539" s="23">
        <v>539</v>
      </c>
      <c r="C539" s="18" t="s">
        <v>8</v>
      </c>
    </row>
    <row r="540" spans="1:4" s="19" customFormat="1" ht="14.2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C541" s="18" t="s">
        <v>15</v>
      </c>
      <c r="D541" s="19" t="s">
        <v>223</v>
      </c>
    </row>
    <row r="542" spans="1:4" s="19" customFormat="1">
      <c r="A542" s="23">
        <v>542</v>
      </c>
      <c r="C542" s="18" t="s">
        <v>16</v>
      </c>
    </row>
    <row r="543" spans="1:4" s="19" customFormat="1">
      <c r="A543" s="23">
        <v>543</v>
      </c>
      <c r="C543" s="18" t="s">
        <v>17</v>
      </c>
    </row>
    <row r="544" spans="1:4" s="19" customFormat="1">
      <c r="A544" s="23">
        <v>544</v>
      </c>
      <c r="C544" s="18" t="s">
        <v>18</v>
      </c>
    </row>
    <row r="545" spans="1:4" s="19" customFormat="1">
      <c r="A545" s="23">
        <v>545</v>
      </c>
      <c r="C545" s="18" t="s">
        <v>19</v>
      </c>
    </row>
    <row r="546" spans="1:4" s="19" customFormat="1">
      <c r="A546" s="23">
        <v>546</v>
      </c>
      <c r="C546" s="18" t="s">
        <v>20</v>
      </c>
    </row>
    <row r="547" spans="1:4" s="19" customFormat="1">
      <c r="A547" s="23">
        <v>547</v>
      </c>
      <c r="C547" s="18" t="s">
        <v>21</v>
      </c>
    </row>
    <row r="548" spans="1:4" s="19" customFormat="1">
      <c r="A548" s="23">
        <v>548</v>
      </c>
      <c r="C548" s="18" t="s">
        <v>22</v>
      </c>
    </row>
    <row r="549" spans="1:4" s="19" customFormat="1">
      <c r="A549" s="23">
        <v>549</v>
      </c>
      <c r="C549" s="18" t="s">
        <v>23</v>
      </c>
    </row>
    <row r="550" spans="1:4" s="19" customFormat="1">
      <c r="A550" s="23">
        <v>550</v>
      </c>
      <c r="C550" s="18" t="s">
        <v>24</v>
      </c>
    </row>
    <row r="551" spans="1:4" s="19" customFormat="1">
      <c r="A551" s="23">
        <v>551</v>
      </c>
      <c r="C551" s="18" t="s">
        <v>14</v>
      </c>
    </row>
    <row r="552" spans="1:4" s="19" customFormat="1">
      <c r="A552" s="23">
        <v>552</v>
      </c>
      <c r="C552" s="18" t="s">
        <v>38</v>
      </c>
    </row>
    <row r="553" spans="1:4" s="19" customFormat="1">
      <c r="A553" s="23">
        <v>553</v>
      </c>
      <c r="C553" s="18" t="s">
        <v>39</v>
      </c>
    </row>
    <row r="554" spans="1:4" s="19" customFormat="1">
      <c r="A554" s="23">
        <v>554</v>
      </c>
      <c r="C554" s="18" t="s">
        <v>8</v>
      </c>
    </row>
    <row r="555" spans="1:4" s="19" customFormat="1" ht="14.2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15</v>
      </c>
      <c r="D556" s="19" t="s">
        <v>224</v>
      </c>
    </row>
    <row r="557" spans="1:4" s="19" customFormat="1">
      <c r="A557" s="23">
        <v>557</v>
      </c>
      <c r="C557" s="18" t="s">
        <v>16</v>
      </c>
    </row>
    <row r="558" spans="1:4" s="19" customFormat="1">
      <c r="A558" s="23">
        <v>558</v>
      </c>
      <c r="C558" s="18" t="s">
        <v>17</v>
      </c>
    </row>
    <row r="559" spans="1:4" s="19" customFormat="1">
      <c r="A559" s="23">
        <v>559</v>
      </c>
      <c r="C559" s="18" t="s">
        <v>18</v>
      </c>
    </row>
    <row r="560" spans="1:4" s="19" customFormat="1">
      <c r="A560" s="23">
        <v>560</v>
      </c>
      <c r="C560" s="18" t="s">
        <v>19</v>
      </c>
    </row>
    <row r="561" spans="1:4" s="19" customFormat="1">
      <c r="A561" s="23">
        <v>561</v>
      </c>
      <c r="C561" s="18" t="s">
        <v>20</v>
      </c>
    </row>
    <row r="562" spans="1:4" s="19" customFormat="1">
      <c r="A562" s="23">
        <v>562</v>
      </c>
      <c r="C562" s="18" t="s">
        <v>21</v>
      </c>
    </row>
    <row r="563" spans="1:4" s="19" customFormat="1">
      <c r="A563" s="23">
        <v>563</v>
      </c>
      <c r="C563" s="18" t="s">
        <v>22</v>
      </c>
    </row>
    <row r="564" spans="1:4" s="19" customFormat="1">
      <c r="A564" s="23">
        <v>564</v>
      </c>
      <c r="C564" s="18" t="s">
        <v>23</v>
      </c>
    </row>
    <row r="565" spans="1:4" s="19" customFormat="1">
      <c r="A565" s="23">
        <v>565</v>
      </c>
      <c r="C565" s="18" t="s">
        <v>24</v>
      </c>
    </row>
    <row r="566" spans="1:4" s="19" customFormat="1">
      <c r="A566" s="23">
        <v>566</v>
      </c>
      <c r="C566" s="18" t="s">
        <v>14</v>
      </c>
    </row>
    <row r="567" spans="1:4" s="19" customFormat="1">
      <c r="A567" s="23">
        <v>567</v>
      </c>
      <c r="C567" s="18" t="s">
        <v>38</v>
      </c>
    </row>
    <row r="568" spans="1:4" s="19" customFormat="1">
      <c r="A568" s="23">
        <v>568</v>
      </c>
      <c r="C568" s="18" t="s">
        <v>39</v>
      </c>
    </row>
    <row r="569" spans="1:4" s="19" customFormat="1">
      <c r="A569" s="23">
        <v>569</v>
      </c>
      <c r="C569" s="18" t="s">
        <v>8</v>
      </c>
    </row>
    <row r="570" spans="1:4" s="19" customFormat="1" ht="14.2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15</v>
      </c>
      <c r="D571" s="19" t="s">
        <v>460</v>
      </c>
    </row>
    <row r="572" spans="1:4" s="19" customFormat="1">
      <c r="A572" s="23">
        <v>572</v>
      </c>
      <c r="C572" s="18" t="s">
        <v>16</v>
      </c>
    </row>
    <row r="573" spans="1:4" s="19" customFormat="1">
      <c r="A573" s="23">
        <v>573</v>
      </c>
      <c r="C573" s="18" t="s">
        <v>17</v>
      </c>
    </row>
    <row r="574" spans="1:4" s="19" customFormat="1">
      <c r="A574" s="23">
        <v>574</v>
      </c>
      <c r="C574" s="18" t="s">
        <v>18</v>
      </c>
    </row>
    <row r="575" spans="1:4" s="19" customFormat="1">
      <c r="A575" s="23">
        <v>575</v>
      </c>
      <c r="C575" s="18" t="s">
        <v>19</v>
      </c>
    </row>
    <row r="576" spans="1:4" s="19" customFormat="1">
      <c r="A576" s="23">
        <v>576</v>
      </c>
      <c r="C576" s="18" t="s">
        <v>20</v>
      </c>
    </row>
    <row r="577" spans="1:4" s="19" customFormat="1">
      <c r="A577" s="23">
        <v>577</v>
      </c>
      <c r="C577" s="18" t="s">
        <v>21</v>
      </c>
    </row>
    <row r="578" spans="1:4" s="19" customFormat="1">
      <c r="A578" s="23">
        <v>578</v>
      </c>
      <c r="C578" s="18" t="s">
        <v>22</v>
      </c>
    </row>
    <row r="579" spans="1:4" s="19" customFormat="1">
      <c r="A579" s="23">
        <v>579</v>
      </c>
      <c r="C579" s="18" t="s">
        <v>23</v>
      </c>
    </row>
    <row r="580" spans="1:4" s="19" customFormat="1">
      <c r="A580" s="23">
        <v>580</v>
      </c>
      <c r="C580" s="18" t="s">
        <v>24</v>
      </c>
    </row>
    <row r="581" spans="1:4" s="19" customFormat="1">
      <c r="A581" s="23">
        <v>581</v>
      </c>
      <c r="C581" s="18" t="s">
        <v>14</v>
      </c>
    </row>
    <row r="582" spans="1:4" s="19" customFormat="1">
      <c r="A582" s="23">
        <v>582</v>
      </c>
      <c r="C582" s="18" t="s">
        <v>38</v>
      </c>
    </row>
    <row r="583" spans="1:4" s="19" customFormat="1">
      <c r="A583" s="23">
        <v>583</v>
      </c>
      <c r="C583" s="18" t="s">
        <v>39</v>
      </c>
    </row>
    <row r="584" spans="1:4" s="19" customFormat="1">
      <c r="A584" s="23">
        <v>584</v>
      </c>
      <c r="C584" s="18" t="s">
        <v>8</v>
      </c>
    </row>
    <row r="585" spans="1:4" s="19" customFormat="1" ht="14.2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15</v>
      </c>
      <c r="D586" s="19" t="s">
        <v>461</v>
      </c>
    </row>
    <row r="587" spans="1:4" s="19" customFormat="1">
      <c r="A587" s="23">
        <v>587</v>
      </c>
      <c r="C587" s="18" t="s">
        <v>16</v>
      </c>
    </row>
    <row r="588" spans="1:4" s="19" customFormat="1">
      <c r="A588" s="23">
        <v>588</v>
      </c>
      <c r="C588" s="18" t="s">
        <v>17</v>
      </c>
    </row>
    <row r="589" spans="1:4" s="19" customFormat="1">
      <c r="A589" s="23">
        <v>589</v>
      </c>
      <c r="C589" s="18" t="s">
        <v>18</v>
      </c>
    </row>
    <row r="590" spans="1:4" s="19" customFormat="1">
      <c r="A590" s="23">
        <v>590</v>
      </c>
      <c r="C590" s="18" t="s">
        <v>19</v>
      </c>
    </row>
    <row r="591" spans="1:4" s="19" customFormat="1">
      <c r="A591" s="23">
        <v>591</v>
      </c>
      <c r="C591" s="18" t="s">
        <v>20</v>
      </c>
    </row>
    <row r="592" spans="1:4" s="19" customFormat="1">
      <c r="A592" s="23">
        <v>592</v>
      </c>
      <c r="C592" s="18" t="s">
        <v>21</v>
      </c>
    </row>
    <row r="593" spans="1:4" s="19" customFormat="1">
      <c r="A593" s="23">
        <v>593</v>
      </c>
      <c r="C593" s="18" t="s">
        <v>22</v>
      </c>
    </row>
    <row r="594" spans="1:4" s="19" customFormat="1">
      <c r="A594" s="23">
        <v>594</v>
      </c>
      <c r="C594" s="18" t="s">
        <v>23</v>
      </c>
    </row>
    <row r="595" spans="1:4" s="19" customFormat="1">
      <c r="A595" s="23">
        <v>595</v>
      </c>
      <c r="C595" s="18" t="s">
        <v>24</v>
      </c>
    </row>
    <row r="596" spans="1:4" s="19" customFormat="1">
      <c r="A596" s="23">
        <v>596</v>
      </c>
      <c r="C596" s="18" t="s">
        <v>14</v>
      </c>
    </row>
    <row r="597" spans="1:4" s="19" customFormat="1">
      <c r="A597" s="23">
        <v>597</v>
      </c>
      <c r="C597" s="18" t="s">
        <v>38</v>
      </c>
    </row>
    <row r="598" spans="1:4" s="19" customFormat="1">
      <c r="A598" s="23">
        <v>598</v>
      </c>
      <c r="C598" s="18" t="s">
        <v>39</v>
      </c>
    </row>
    <row r="599" spans="1:4" s="19" customFormat="1">
      <c r="A599" s="23">
        <v>599</v>
      </c>
      <c r="C599" s="18" t="s">
        <v>8</v>
      </c>
    </row>
    <row r="600" spans="1:4" s="19" customFormat="1" ht="14.2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15</v>
      </c>
      <c r="D601" s="19" t="s">
        <v>462</v>
      </c>
    </row>
    <row r="602" spans="1:4" s="19" customFormat="1">
      <c r="A602" s="23">
        <v>602</v>
      </c>
      <c r="C602" s="18" t="s">
        <v>16</v>
      </c>
    </row>
    <row r="603" spans="1:4" s="19" customFormat="1">
      <c r="A603" s="23">
        <v>603</v>
      </c>
      <c r="C603" s="18" t="s">
        <v>17</v>
      </c>
    </row>
    <row r="604" spans="1:4" s="19" customFormat="1">
      <c r="A604" s="23">
        <v>604</v>
      </c>
      <c r="C604" s="18" t="s">
        <v>18</v>
      </c>
    </row>
    <row r="605" spans="1:4" s="19" customFormat="1">
      <c r="A605" s="23">
        <v>605</v>
      </c>
      <c r="C605" s="18" t="s">
        <v>19</v>
      </c>
    </row>
    <row r="606" spans="1:4" s="19" customFormat="1">
      <c r="A606" s="23">
        <v>606</v>
      </c>
      <c r="C606" s="18" t="s">
        <v>20</v>
      </c>
    </row>
    <row r="607" spans="1:4" s="19" customFormat="1">
      <c r="A607" s="23">
        <v>607</v>
      </c>
      <c r="C607" s="18" t="s">
        <v>21</v>
      </c>
    </row>
    <row r="608" spans="1:4" s="19" customFormat="1">
      <c r="A608" s="23">
        <v>608</v>
      </c>
      <c r="C608" s="18" t="s">
        <v>22</v>
      </c>
    </row>
    <row r="609" spans="1:4" s="19" customFormat="1">
      <c r="A609" s="23">
        <v>609</v>
      </c>
      <c r="C609" s="18" t="s">
        <v>23</v>
      </c>
    </row>
    <row r="610" spans="1:4" s="19" customFormat="1">
      <c r="A610" s="23">
        <v>610</v>
      </c>
      <c r="C610" s="18" t="s">
        <v>24</v>
      </c>
    </row>
    <row r="611" spans="1:4" s="19" customFormat="1">
      <c r="A611" s="23">
        <v>611</v>
      </c>
      <c r="C611" s="18" t="s">
        <v>14</v>
      </c>
    </row>
    <row r="612" spans="1:4" s="19" customFormat="1">
      <c r="A612" s="23">
        <v>612</v>
      </c>
      <c r="C612" s="18" t="s">
        <v>38</v>
      </c>
    </row>
    <row r="613" spans="1:4" s="19" customFormat="1">
      <c r="A613" s="23">
        <v>613</v>
      </c>
      <c r="C613" s="18" t="s">
        <v>39</v>
      </c>
    </row>
    <row r="614" spans="1:4" s="19" customFormat="1">
      <c r="A614" s="23">
        <v>614</v>
      </c>
      <c r="C614" s="18" t="s">
        <v>8</v>
      </c>
    </row>
    <row r="615" spans="1:4" s="19" customFormat="1" ht="14.2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15</v>
      </c>
      <c r="D616" s="19" t="s">
        <v>463</v>
      </c>
    </row>
    <row r="617" spans="1:4" s="19" customFormat="1">
      <c r="A617" s="23">
        <v>617</v>
      </c>
      <c r="C617" s="18" t="s">
        <v>16</v>
      </c>
    </row>
    <row r="618" spans="1:4" s="19" customFormat="1">
      <c r="A618" s="23">
        <v>618</v>
      </c>
      <c r="C618" s="18" t="s">
        <v>17</v>
      </c>
    </row>
    <row r="619" spans="1:4" s="19" customFormat="1">
      <c r="A619" s="23">
        <v>619</v>
      </c>
      <c r="C619" s="18" t="s">
        <v>18</v>
      </c>
    </row>
    <row r="620" spans="1:4" s="19" customFormat="1">
      <c r="A620" s="23">
        <v>620</v>
      </c>
      <c r="C620" s="18" t="s">
        <v>19</v>
      </c>
    </row>
    <row r="621" spans="1:4" s="19" customFormat="1">
      <c r="A621" s="23">
        <v>621</v>
      </c>
      <c r="C621" s="18" t="s">
        <v>20</v>
      </c>
    </row>
    <row r="622" spans="1:4" s="19" customFormat="1">
      <c r="A622" s="23">
        <v>622</v>
      </c>
      <c r="C622" s="18" t="s">
        <v>21</v>
      </c>
    </row>
    <row r="623" spans="1:4" s="19" customFormat="1">
      <c r="A623" s="23">
        <v>623</v>
      </c>
      <c r="C623" s="18" t="s">
        <v>22</v>
      </c>
    </row>
    <row r="624" spans="1:4" s="19" customFormat="1">
      <c r="A624" s="23">
        <v>624</v>
      </c>
      <c r="C624" s="18" t="s">
        <v>23</v>
      </c>
    </row>
    <row r="625" spans="1:4" s="19" customFormat="1">
      <c r="A625" s="23">
        <v>625</v>
      </c>
      <c r="C625" s="18" t="s">
        <v>24</v>
      </c>
    </row>
    <row r="626" spans="1:4" s="19" customFormat="1">
      <c r="A626" s="23">
        <v>626</v>
      </c>
      <c r="C626" s="18" t="s">
        <v>14</v>
      </c>
    </row>
    <row r="627" spans="1:4" s="19" customFormat="1">
      <c r="A627" s="23">
        <v>627</v>
      </c>
      <c r="C627" s="18" t="s">
        <v>38</v>
      </c>
    </row>
    <row r="628" spans="1:4" s="19" customFormat="1">
      <c r="A628" s="23">
        <v>628</v>
      </c>
      <c r="C628" s="18" t="s">
        <v>39</v>
      </c>
    </row>
    <row r="629" spans="1:4" s="19" customFormat="1">
      <c r="A629" s="23">
        <v>629</v>
      </c>
      <c r="C629" s="18" t="s">
        <v>8</v>
      </c>
    </row>
    <row r="630" spans="1:4" s="19" customFormat="1" ht="14.2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15</v>
      </c>
      <c r="D631" s="19" t="s">
        <v>464</v>
      </c>
    </row>
    <row r="632" spans="1:4" s="19" customFormat="1">
      <c r="A632" s="23">
        <v>632</v>
      </c>
      <c r="C632" s="18" t="s">
        <v>16</v>
      </c>
    </row>
    <row r="633" spans="1:4" s="19" customFormat="1">
      <c r="A633" s="23">
        <v>633</v>
      </c>
      <c r="C633" s="18" t="s">
        <v>17</v>
      </c>
    </row>
    <row r="634" spans="1:4" s="19" customFormat="1">
      <c r="A634" s="23">
        <v>634</v>
      </c>
      <c r="C634" s="18" t="s">
        <v>18</v>
      </c>
    </row>
    <row r="635" spans="1:4" s="19" customFormat="1">
      <c r="A635" s="23">
        <v>635</v>
      </c>
      <c r="C635" s="18" t="s">
        <v>19</v>
      </c>
    </row>
    <row r="636" spans="1:4" s="19" customFormat="1">
      <c r="A636" s="23">
        <v>636</v>
      </c>
      <c r="C636" s="18" t="s">
        <v>20</v>
      </c>
    </row>
    <row r="637" spans="1:4" s="19" customFormat="1">
      <c r="A637" s="23">
        <v>637</v>
      </c>
      <c r="C637" s="18" t="s">
        <v>21</v>
      </c>
    </row>
    <row r="638" spans="1:4" s="19" customFormat="1">
      <c r="A638" s="23">
        <v>638</v>
      </c>
      <c r="C638" s="18" t="s">
        <v>22</v>
      </c>
    </row>
    <row r="639" spans="1:4" s="19" customFormat="1">
      <c r="A639" s="23">
        <v>639</v>
      </c>
      <c r="C639" s="18" t="s">
        <v>23</v>
      </c>
    </row>
    <row r="640" spans="1:4" s="19" customFormat="1">
      <c r="A640" s="23">
        <v>640</v>
      </c>
      <c r="C640" s="18" t="s">
        <v>24</v>
      </c>
    </row>
    <row r="641" spans="1:4" s="19" customFormat="1">
      <c r="A641" s="23">
        <v>641</v>
      </c>
      <c r="C641" s="18" t="s">
        <v>14</v>
      </c>
    </row>
    <row r="642" spans="1:4" s="19" customFormat="1">
      <c r="A642" s="23">
        <v>642</v>
      </c>
      <c r="C642" s="18" t="s">
        <v>38</v>
      </c>
    </row>
    <row r="643" spans="1:4" s="19" customFormat="1">
      <c r="A643" s="23">
        <v>643</v>
      </c>
      <c r="C643" s="18" t="s">
        <v>39</v>
      </c>
    </row>
    <row r="644" spans="1:4" s="19" customFormat="1">
      <c r="A644" s="23">
        <v>644</v>
      </c>
      <c r="C644" s="18" t="s">
        <v>8</v>
      </c>
    </row>
    <row r="645" spans="1:4" s="19" customFormat="1" ht="14.2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C646" s="12" t="s">
        <v>15</v>
      </c>
      <c r="D646" s="1" t="s">
        <v>151</v>
      </c>
    </row>
    <row r="647" spans="1:4" s="1" customFormat="1">
      <c r="A647" s="23">
        <v>647</v>
      </c>
      <c r="C647" s="2" t="s">
        <v>16</v>
      </c>
    </row>
    <row r="648" spans="1:4" s="1" customFormat="1">
      <c r="A648" s="23">
        <v>648</v>
      </c>
      <c r="C648" s="2" t="s">
        <v>17</v>
      </c>
    </row>
    <row r="649" spans="1:4" s="1" customFormat="1">
      <c r="A649" s="23">
        <v>649</v>
      </c>
      <c r="C649" s="2" t="s">
        <v>18</v>
      </c>
    </row>
    <row r="650" spans="1:4" s="1" customFormat="1">
      <c r="A650" s="23">
        <v>650</v>
      </c>
      <c r="C650" s="2" t="s">
        <v>19</v>
      </c>
    </row>
    <row r="651" spans="1:4" s="1" customFormat="1">
      <c r="A651" s="23">
        <v>651</v>
      </c>
      <c r="C651" s="2" t="s">
        <v>20</v>
      </c>
    </row>
    <row r="652" spans="1:4" s="1" customFormat="1">
      <c r="A652" s="23">
        <v>652</v>
      </c>
      <c r="C652" s="2" t="s">
        <v>21</v>
      </c>
    </row>
    <row r="653" spans="1:4" s="1" customFormat="1">
      <c r="A653" s="23">
        <v>653</v>
      </c>
      <c r="C653" s="2" t="s">
        <v>22</v>
      </c>
    </row>
    <row r="654" spans="1:4" s="1" customFormat="1">
      <c r="A654" s="23">
        <v>654</v>
      </c>
      <c r="C654" s="2" t="s">
        <v>23</v>
      </c>
    </row>
    <row r="655" spans="1:4" s="1" customFormat="1">
      <c r="A655" s="23">
        <v>655</v>
      </c>
      <c r="C655" s="2" t="s">
        <v>24</v>
      </c>
    </row>
    <row r="656" spans="1:4" s="1" customFormat="1">
      <c r="A656" s="23">
        <v>656</v>
      </c>
      <c r="C656" s="2" t="s">
        <v>150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4.2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15</v>
      </c>
      <c r="D661" s="1" t="s">
        <v>152</v>
      </c>
    </row>
    <row r="662" spans="1:4" s="1" customFormat="1">
      <c r="A662" s="23">
        <v>662</v>
      </c>
      <c r="C662" s="2" t="s">
        <v>16</v>
      </c>
    </row>
    <row r="663" spans="1:4" s="1" customFormat="1">
      <c r="A663" s="23">
        <v>663</v>
      </c>
      <c r="C663" s="2" t="s">
        <v>17</v>
      </c>
    </row>
    <row r="664" spans="1:4" s="1" customFormat="1">
      <c r="A664" s="23">
        <v>664</v>
      </c>
      <c r="C664" s="2" t="s">
        <v>18</v>
      </c>
    </row>
    <row r="665" spans="1:4" s="1" customFormat="1">
      <c r="A665" s="23">
        <v>665</v>
      </c>
      <c r="C665" s="2" t="s">
        <v>19</v>
      </c>
    </row>
    <row r="666" spans="1:4" s="1" customFormat="1">
      <c r="A666" s="23">
        <v>666</v>
      </c>
      <c r="C666" s="2" t="s">
        <v>20</v>
      </c>
    </row>
    <row r="667" spans="1:4" s="1" customFormat="1">
      <c r="A667" s="23">
        <v>667</v>
      </c>
      <c r="C667" s="2" t="s">
        <v>21</v>
      </c>
    </row>
    <row r="668" spans="1:4" s="1" customFormat="1">
      <c r="A668" s="23">
        <v>668</v>
      </c>
      <c r="C668" s="2" t="s">
        <v>22</v>
      </c>
    </row>
    <row r="669" spans="1:4" s="1" customFormat="1">
      <c r="A669" s="23">
        <v>669</v>
      </c>
      <c r="C669" s="2" t="s">
        <v>23</v>
      </c>
    </row>
    <row r="670" spans="1:4" s="1" customFormat="1">
      <c r="A670" s="23">
        <v>670</v>
      </c>
      <c r="C670" s="2" t="s">
        <v>24</v>
      </c>
    </row>
    <row r="671" spans="1:4" s="1" customFormat="1">
      <c r="A671" s="23">
        <v>671</v>
      </c>
      <c r="C671" s="2" t="s">
        <v>150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4.2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15</v>
      </c>
      <c r="D676" s="1" t="s">
        <v>153</v>
      </c>
    </row>
    <row r="677" spans="1:4" s="1" customFormat="1">
      <c r="A677" s="23">
        <v>677</v>
      </c>
      <c r="C677" s="2" t="s">
        <v>16</v>
      </c>
    </row>
    <row r="678" spans="1:4" s="1" customFormat="1">
      <c r="A678" s="23">
        <v>678</v>
      </c>
      <c r="C678" s="2" t="s">
        <v>17</v>
      </c>
    </row>
    <row r="679" spans="1:4" s="1" customFormat="1">
      <c r="A679" s="23">
        <v>679</v>
      </c>
      <c r="C679" s="2" t="s">
        <v>18</v>
      </c>
    </row>
    <row r="680" spans="1:4" s="1" customFormat="1">
      <c r="A680" s="23">
        <v>680</v>
      </c>
      <c r="C680" s="2" t="s">
        <v>19</v>
      </c>
    </row>
    <row r="681" spans="1:4" s="1" customFormat="1">
      <c r="A681" s="23">
        <v>681</v>
      </c>
      <c r="C681" s="2" t="s">
        <v>20</v>
      </c>
    </row>
    <row r="682" spans="1:4" s="1" customFormat="1">
      <c r="A682" s="23">
        <v>682</v>
      </c>
      <c r="C682" s="2" t="s">
        <v>21</v>
      </c>
    </row>
    <row r="683" spans="1:4" s="1" customFormat="1">
      <c r="A683" s="23">
        <v>683</v>
      </c>
      <c r="C683" s="2" t="s">
        <v>22</v>
      </c>
    </row>
    <row r="684" spans="1:4" s="1" customFormat="1">
      <c r="A684" s="23">
        <v>684</v>
      </c>
      <c r="C684" s="2" t="s">
        <v>23</v>
      </c>
    </row>
    <row r="685" spans="1:4" s="1" customFormat="1">
      <c r="A685" s="23">
        <v>685</v>
      </c>
      <c r="C685" s="2" t="s">
        <v>24</v>
      </c>
    </row>
    <row r="686" spans="1:4" s="1" customFormat="1">
      <c r="A686" s="23">
        <v>686</v>
      </c>
      <c r="C686" s="2" t="s">
        <v>150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4.2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15</v>
      </c>
      <c r="D691" s="1" t="s">
        <v>154</v>
      </c>
    </row>
    <row r="692" spans="1:4" s="1" customFormat="1">
      <c r="A692" s="23">
        <v>692</v>
      </c>
      <c r="C692" s="2" t="s">
        <v>16</v>
      </c>
    </row>
    <row r="693" spans="1:4" s="1" customFormat="1">
      <c r="A693" s="23">
        <v>693</v>
      </c>
      <c r="C693" s="2" t="s">
        <v>17</v>
      </c>
    </row>
    <row r="694" spans="1:4" s="1" customFormat="1">
      <c r="A694" s="23">
        <v>694</v>
      </c>
      <c r="C694" s="2" t="s">
        <v>18</v>
      </c>
    </row>
    <row r="695" spans="1:4" s="1" customFormat="1">
      <c r="A695" s="23">
        <v>695</v>
      </c>
      <c r="C695" s="2" t="s">
        <v>19</v>
      </c>
    </row>
    <row r="696" spans="1:4" s="1" customFormat="1">
      <c r="A696" s="23">
        <v>696</v>
      </c>
      <c r="C696" s="2" t="s">
        <v>20</v>
      </c>
    </row>
    <row r="697" spans="1:4" s="1" customFormat="1">
      <c r="A697" s="23">
        <v>697</v>
      </c>
      <c r="C697" s="2" t="s">
        <v>21</v>
      </c>
    </row>
    <row r="698" spans="1:4" s="1" customFormat="1">
      <c r="A698" s="23">
        <v>698</v>
      </c>
      <c r="C698" s="2" t="s">
        <v>22</v>
      </c>
    </row>
    <row r="699" spans="1:4" s="1" customFormat="1">
      <c r="A699" s="23">
        <v>699</v>
      </c>
      <c r="C699" s="2" t="s">
        <v>23</v>
      </c>
    </row>
    <row r="700" spans="1:4" s="1" customFormat="1">
      <c r="A700" s="23">
        <v>700</v>
      </c>
      <c r="C700" s="2" t="s">
        <v>24</v>
      </c>
    </row>
    <row r="701" spans="1:4" s="1" customFormat="1">
      <c r="A701" s="23">
        <v>701</v>
      </c>
      <c r="C701" s="2" t="s">
        <v>150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4.2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15</v>
      </c>
      <c r="D706" s="1" t="s">
        <v>155</v>
      </c>
    </row>
    <row r="707" spans="1:4" s="1" customFormat="1">
      <c r="A707" s="23">
        <v>707</v>
      </c>
      <c r="C707" s="2" t="s">
        <v>16</v>
      </c>
    </row>
    <row r="708" spans="1:4" s="1" customFormat="1">
      <c r="A708" s="23">
        <v>708</v>
      </c>
      <c r="C708" s="2" t="s">
        <v>17</v>
      </c>
    </row>
    <row r="709" spans="1:4" s="1" customFormat="1">
      <c r="A709" s="23">
        <v>709</v>
      </c>
      <c r="C709" s="2" t="s">
        <v>18</v>
      </c>
    </row>
    <row r="710" spans="1:4" s="1" customFormat="1">
      <c r="A710" s="23">
        <v>710</v>
      </c>
      <c r="C710" s="2" t="s">
        <v>19</v>
      </c>
    </row>
    <row r="711" spans="1:4" s="1" customFormat="1">
      <c r="A711" s="23">
        <v>711</v>
      </c>
      <c r="C711" s="2" t="s">
        <v>20</v>
      </c>
    </row>
    <row r="712" spans="1:4" s="1" customFormat="1">
      <c r="A712" s="23">
        <v>712</v>
      </c>
      <c r="C712" s="2" t="s">
        <v>21</v>
      </c>
    </row>
    <row r="713" spans="1:4" s="1" customFormat="1">
      <c r="A713" s="23">
        <v>713</v>
      </c>
      <c r="C713" s="2" t="s">
        <v>22</v>
      </c>
    </row>
    <row r="714" spans="1:4" s="1" customFormat="1">
      <c r="A714" s="23">
        <v>714</v>
      </c>
      <c r="C714" s="2" t="s">
        <v>23</v>
      </c>
    </row>
    <row r="715" spans="1:4" s="1" customFormat="1">
      <c r="A715" s="23">
        <v>715</v>
      </c>
      <c r="C715" s="2" t="s">
        <v>24</v>
      </c>
    </row>
    <row r="716" spans="1:4" s="1" customFormat="1">
      <c r="A716" s="23">
        <v>716</v>
      </c>
      <c r="C716" s="2" t="s">
        <v>150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4.2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15</v>
      </c>
      <c r="D721" s="1" t="s">
        <v>156</v>
      </c>
    </row>
    <row r="722" spans="1:4" s="1" customFormat="1">
      <c r="A722" s="23">
        <v>722</v>
      </c>
      <c r="C722" s="2" t="s">
        <v>16</v>
      </c>
    </row>
    <row r="723" spans="1:4" s="1" customFormat="1">
      <c r="A723" s="23">
        <v>723</v>
      </c>
      <c r="C723" s="2" t="s">
        <v>17</v>
      </c>
    </row>
    <row r="724" spans="1:4" s="1" customFormat="1">
      <c r="A724" s="23">
        <v>724</v>
      </c>
      <c r="C724" s="2" t="s">
        <v>18</v>
      </c>
    </row>
    <row r="725" spans="1:4" s="1" customFormat="1">
      <c r="A725" s="23">
        <v>725</v>
      </c>
      <c r="C725" s="2" t="s">
        <v>19</v>
      </c>
    </row>
    <row r="726" spans="1:4" s="1" customFormat="1">
      <c r="A726" s="23">
        <v>726</v>
      </c>
      <c r="C726" s="2" t="s">
        <v>20</v>
      </c>
    </row>
    <row r="727" spans="1:4" s="1" customFormat="1">
      <c r="A727" s="23">
        <v>727</v>
      </c>
      <c r="C727" s="2" t="s">
        <v>21</v>
      </c>
    </row>
    <row r="728" spans="1:4" s="1" customFormat="1">
      <c r="A728" s="23">
        <v>728</v>
      </c>
      <c r="C728" s="2" t="s">
        <v>22</v>
      </c>
    </row>
    <row r="729" spans="1:4" s="1" customFormat="1">
      <c r="A729" s="23">
        <v>729</v>
      </c>
      <c r="C729" s="2" t="s">
        <v>23</v>
      </c>
    </row>
    <row r="730" spans="1:4" s="1" customFormat="1">
      <c r="A730" s="23">
        <v>730</v>
      </c>
      <c r="C730" s="2" t="s">
        <v>24</v>
      </c>
    </row>
    <row r="731" spans="1:4" s="1" customFormat="1">
      <c r="A731" s="23">
        <v>731</v>
      </c>
      <c r="C731" s="2" t="s">
        <v>150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4.2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15</v>
      </c>
      <c r="D736" s="1" t="s">
        <v>157</v>
      </c>
    </row>
    <row r="737" spans="1:4" s="1" customFormat="1">
      <c r="A737" s="23">
        <v>737</v>
      </c>
      <c r="C737" s="2" t="s">
        <v>16</v>
      </c>
    </row>
    <row r="738" spans="1:4" s="1" customFormat="1">
      <c r="A738" s="23">
        <v>738</v>
      </c>
      <c r="C738" s="2" t="s">
        <v>17</v>
      </c>
    </row>
    <row r="739" spans="1:4" s="1" customFormat="1">
      <c r="A739" s="23">
        <v>739</v>
      </c>
      <c r="C739" s="2" t="s">
        <v>18</v>
      </c>
    </row>
    <row r="740" spans="1:4" s="1" customFormat="1">
      <c r="A740" s="23">
        <v>740</v>
      </c>
      <c r="C740" s="2" t="s">
        <v>19</v>
      </c>
    </row>
    <row r="741" spans="1:4" s="1" customFormat="1">
      <c r="A741" s="23">
        <v>741</v>
      </c>
      <c r="C741" s="2" t="s">
        <v>20</v>
      </c>
    </row>
    <row r="742" spans="1:4" s="1" customFormat="1">
      <c r="A742" s="23">
        <v>742</v>
      </c>
      <c r="C742" s="2" t="s">
        <v>21</v>
      </c>
    </row>
    <row r="743" spans="1:4" s="1" customFormat="1">
      <c r="A743" s="23">
        <v>743</v>
      </c>
      <c r="C743" s="2" t="s">
        <v>22</v>
      </c>
    </row>
    <row r="744" spans="1:4" s="1" customFormat="1">
      <c r="A744" s="23">
        <v>744</v>
      </c>
      <c r="C744" s="2" t="s">
        <v>23</v>
      </c>
    </row>
    <row r="745" spans="1:4" s="1" customFormat="1">
      <c r="A745" s="23">
        <v>745</v>
      </c>
      <c r="C745" s="2" t="s">
        <v>24</v>
      </c>
    </row>
    <row r="746" spans="1:4" s="1" customFormat="1">
      <c r="A746" s="23">
        <v>746</v>
      </c>
      <c r="C746" s="2" t="s">
        <v>150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4.2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15</v>
      </c>
      <c r="D751" s="1" t="s">
        <v>158</v>
      </c>
    </row>
    <row r="752" spans="1:4" s="1" customFormat="1">
      <c r="A752" s="23">
        <v>752</v>
      </c>
      <c r="C752" s="2" t="s">
        <v>16</v>
      </c>
    </row>
    <row r="753" spans="1:4" s="1" customFormat="1">
      <c r="A753" s="23">
        <v>753</v>
      </c>
      <c r="C753" s="2" t="s">
        <v>17</v>
      </c>
    </row>
    <row r="754" spans="1:4" s="1" customFormat="1">
      <c r="A754" s="23">
        <v>754</v>
      </c>
      <c r="C754" s="2" t="s">
        <v>18</v>
      </c>
    </row>
    <row r="755" spans="1:4" s="1" customFormat="1">
      <c r="A755" s="23">
        <v>755</v>
      </c>
      <c r="C755" s="2" t="s">
        <v>19</v>
      </c>
    </row>
    <row r="756" spans="1:4" s="1" customFormat="1">
      <c r="A756" s="23">
        <v>756</v>
      </c>
      <c r="C756" s="2" t="s">
        <v>20</v>
      </c>
    </row>
    <row r="757" spans="1:4" s="1" customFormat="1">
      <c r="A757" s="23">
        <v>757</v>
      </c>
      <c r="C757" s="2" t="s">
        <v>21</v>
      </c>
    </row>
    <row r="758" spans="1:4" s="1" customFormat="1">
      <c r="A758" s="23">
        <v>758</v>
      </c>
      <c r="C758" s="2" t="s">
        <v>22</v>
      </c>
    </row>
    <row r="759" spans="1:4" s="1" customFormat="1">
      <c r="A759" s="23">
        <v>759</v>
      </c>
      <c r="C759" s="2" t="s">
        <v>23</v>
      </c>
    </row>
    <row r="760" spans="1:4" s="1" customFormat="1">
      <c r="A760" s="23">
        <v>760</v>
      </c>
      <c r="C760" s="2" t="s">
        <v>24</v>
      </c>
    </row>
    <row r="761" spans="1:4" s="1" customFormat="1">
      <c r="A761" s="23">
        <v>761</v>
      </c>
      <c r="C761" s="2" t="s">
        <v>150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4.2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15</v>
      </c>
      <c r="D766" s="1" t="s">
        <v>159</v>
      </c>
    </row>
    <row r="767" spans="1:4" s="1" customFormat="1">
      <c r="A767" s="23">
        <v>767</v>
      </c>
      <c r="C767" s="2" t="s">
        <v>16</v>
      </c>
    </row>
    <row r="768" spans="1:4" s="1" customFormat="1">
      <c r="A768" s="23">
        <v>768</v>
      </c>
      <c r="C768" s="2" t="s">
        <v>17</v>
      </c>
    </row>
    <row r="769" spans="1:4" s="1" customFormat="1">
      <c r="A769" s="23">
        <v>769</v>
      </c>
      <c r="C769" s="2" t="s">
        <v>18</v>
      </c>
    </row>
    <row r="770" spans="1:4" s="1" customFormat="1">
      <c r="A770" s="23">
        <v>770</v>
      </c>
      <c r="C770" s="2" t="s">
        <v>19</v>
      </c>
    </row>
    <row r="771" spans="1:4" s="1" customFormat="1">
      <c r="A771" s="23">
        <v>771</v>
      </c>
      <c r="C771" s="2" t="s">
        <v>20</v>
      </c>
    </row>
    <row r="772" spans="1:4" s="1" customFormat="1">
      <c r="A772" s="23">
        <v>772</v>
      </c>
      <c r="C772" s="2" t="s">
        <v>21</v>
      </c>
    </row>
    <row r="773" spans="1:4" s="1" customFormat="1">
      <c r="A773" s="23">
        <v>773</v>
      </c>
      <c r="C773" s="2" t="s">
        <v>22</v>
      </c>
    </row>
    <row r="774" spans="1:4" s="1" customFormat="1">
      <c r="A774" s="23">
        <v>774</v>
      </c>
      <c r="C774" s="2" t="s">
        <v>23</v>
      </c>
    </row>
    <row r="775" spans="1:4" s="1" customFormat="1">
      <c r="A775" s="23">
        <v>775</v>
      </c>
      <c r="C775" s="2" t="s">
        <v>24</v>
      </c>
    </row>
    <row r="776" spans="1:4" s="1" customFormat="1">
      <c r="A776" s="23">
        <v>776</v>
      </c>
      <c r="C776" s="2" t="s">
        <v>150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4.2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15</v>
      </c>
      <c r="D781" s="1" t="s">
        <v>160</v>
      </c>
    </row>
    <row r="782" spans="1:4" s="1" customFormat="1">
      <c r="A782" s="23">
        <v>782</v>
      </c>
      <c r="C782" s="2" t="s">
        <v>16</v>
      </c>
    </row>
    <row r="783" spans="1:4" s="1" customFormat="1">
      <c r="A783" s="23">
        <v>783</v>
      </c>
      <c r="C783" s="2" t="s">
        <v>17</v>
      </c>
    </row>
    <row r="784" spans="1:4" s="1" customFormat="1">
      <c r="A784" s="23">
        <v>784</v>
      </c>
      <c r="C784" s="2" t="s">
        <v>18</v>
      </c>
    </row>
    <row r="785" spans="1:4" s="1" customFormat="1">
      <c r="A785" s="23">
        <v>785</v>
      </c>
      <c r="C785" s="2" t="s">
        <v>19</v>
      </c>
    </row>
    <row r="786" spans="1:4" s="1" customFormat="1">
      <c r="A786" s="23">
        <v>786</v>
      </c>
      <c r="C786" s="2" t="s">
        <v>20</v>
      </c>
    </row>
    <row r="787" spans="1:4" s="1" customFormat="1">
      <c r="A787" s="23">
        <v>787</v>
      </c>
      <c r="C787" s="2" t="s">
        <v>21</v>
      </c>
    </row>
    <row r="788" spans="1:4" s="1" customFormat="1">
      <c r="A788" s="23">
        <v>788</v>
      </c>
      <c r="C788" s="2" t="s">
        <v>22</v>
      </c>
    </row>
    <row r="789" spans="1:4" s="1" customFormat="1">
      <c r="A789" s="23">
        <v>789</v>
      </c>
      <c r="C789" s="2" t="s">
        <v>23</v>
      </c>
    </row>
    <row r="790" spans="1:4" s="1" customFormat="1">
      <c r="A790" s="23">
        <v>790</v>
      </c>
      <c r="C790" s="2" t="s">
        <v>24</v>
      </c>
    </row>
    <row r="791" spans="1:4" s="1" customFormat="1">
      <c r="A791" s="23">
        <v>791</v>
      </c>
      <c r="C791" s="2" t="s">
        <v>150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4.2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15</v>
      </c>
      <c r="D796" s="1" t="s">
        <v>161</v>
      </c>
    </row>
    <row r="797" spans="1:4" s="1" customFormat="1">
      <c r="A797" s="23">
        <v>797</v>
      </c>
      <c r="C797" s="2" t="s">
        <v>16</v>
      </c>
    </row>
    <row r="798" spans="1:4" s="1" customFormat="1">
      <c r="A798" s="23">
        <v>798</v>
      </c>
      <c r="C798" s="2" t="s">
        <v>17</v>
      </c>
    </row>
    <row r="799" spans="1:4" s="1" customFormat="1">
      <c r="A799" s="23">
        <v>799</v>
      </c>
      <c r="C799" s="2" t="s">
        <v>18</v>
      </c>
    </row>
    <row r="800" spans="1:4" s="1" customFormat="1">
      <c r="A800" s="23">
        <v>800</v>
      </c>
      <c r="C800" s="2" t="s">
        <v>19</v>
      </c>
    </row>
    <row r="801" spans="1:4" s="1" customFormat="1">
      <c r="A801" s="23">
        <v>801</v>
      </c>
      <c r="C801" s="2" t="s">
        <v>20</v>
      </c>
    </row>
    <row r="802" spans="1:4" s="1" customFormat="1">
      <c r="A802" s="23">
        <v>802</v>
      </c>
      <c r="C802" s="2" t="s">
        <v>21</v>
      </c>
    </row>
    <row r="803" spans="1:4" s="1" customFormat="1">
      <c r="A803" s="23">
        <v>803</v>
      </c>
      <c r="C803" s="2" t="s">
        <v>22</v>
      </c>
    </row>
    <row r="804" spans="1:4" s="1" customFormat="1">
      <c r="A804" s="23">
        <v>804</v>
      </c>
      <c r="C804" s="2" t="s">
        <v>23</v>
      </c>
    </row>
    <row r="805" spans="1:4" s="1" customFormat="1">
      <c r="A805" s="23">
        <v>805</v>
      </c>
      <c r="C805" s="2" t="s">
        <v>24</v>
      </c>
    </row>
    <row r="806" spans="1:4" s="1" customFormat="1">
      <c r="A806" s="23">
        <v>806</v>
      </c>
      <c r="C806" s="2" t="s">
        <v>150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4.2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15</v>
      </c>
      <c r="D811" s="1" t="s">
        <v>162</v>
      </c>
    </row>
    <row r="812" spans="1:4" s="1" customFormat="1">
      <c r="A812" s="23">
        <v>812</v>
      </c>
      <c r="C812" s="2" t="s">
        <v>16</v>
      </c>
    </row>
    <row r="813" spans="1:4" s="1" customFormat="1">
      <c r="A813" s="23">
        <v>813</v>
      </c>
      <c r="C813" s="2" t="s">
        <v>17</v>
      </c>
    </row>
    <row r="814" spans="1:4" s="1" customFormat="1">
      <c r="A814" s="23">
        <v>814</v>
      </c>
      <c r="C814" s="2" t="s">
        <v>18</v>
      </c>
    </row>
    <row r="815" spans="1:4" s="1" customFormat="1">
      <c r="A815" s="23">
        <v>815</v>
      </c>
      <c r="C815" s="2" t="s">
        <v>19</v>
      </c>
    </row>
    <row r="816" spans="1:4" s="1" customFormat="1">
      <c r="A816" s="23">
        <v>816</v>
      </c>
      <c r="C816" s="2" t="s">
        <v>20</v>
      </c>
    </row>
    <row r="817" spans="1:4" s="1" customFormat="1">
      <c r="A817" s="23">
        <v>817</v>
      </c>
      <c r="C817" s="2" t="s">
        <v>21</v>
      </c>
    </row>
    <row r="818" spans="1:4" s="1" customFormat="1">
      <c r="A818" s="23">
        <v>818</v>
      </c>
      <c r="C818" s="2" t="s">
        <v>22</v>
      </c>
    </row>
    <row r="819" spans="1:4" s="1" customFormat="1">
      <c r="A819" s="23">
        <v>819</v>
      </c>
      <c r="C819" s="2" t="s">
        <v>23</v>
      </c>
    </row>
    <row r="820" spans="1:4" s="1" customFormat="1">
      <c r="A820" s="23">
        <v>820</v>
      </c>
      <c r="C820" s="2" t="s">
        <v>24</v>
      </c>
    </row>
    <row r="821" spans="1:4" s="1" customFormat="1">
      <c r="A821" s="23">
        <v>821</v>
      </c>
      <c r="C821" s="2" t="s">
        <v>150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4.2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15</v>
      </c>
      <c r="D826" s="1" t="s">
        <v>163</v>
      </c>
    </row>
    <row r="827" spans="1:4" s="1" customFormat="1">
      <c r="A827" s="23">
        <v>827</v>
      </c>
      <c r="C827" s="2" t="s">
        <v>16</v>
      </c>
    </row>
    <row r="828" spans="1:4" s="1" customFormat="1">
      <c r="A828" s="23">
        <v>828</v>
      </c>
      <c r="C828" s="2" t="s">
        <v>17</v>
      </c>
    </row>
    <row r="829" spans="1:4" s="1" customFormat="1">
      <c r="A829" s="23">
        <v>829</v>
      </c>
      <c r="C829" s="2" t="s">
        <v>18</v>
      </c>
    </row>
    <row r="830" spans="1:4" s="1" customFormat="1">
      <c r="A830" s="23">
        <v>830</v>
      </c>
      <c r="C830" s="2" t="s">
        <v>19</v>
      </c>
    </row>
    <row r="831" spans="1:4" s="1" customFormat="1">
      <c r="A831" s="23">
        <v>831</v>
      </c>
      <c r="C831" s="2" t="s">
        <v>20</v>
      </c>
    </row>
    <row r="832" spans="1:4" s="1" customFormat="1">
      <c r="A832" s="23">
        <v>832</v>
      </c>
      <c r="C832" s="2" t="s">
        <v>21</v>
      </c>
    </row>
    <row r="833" spans="1:4" s="1" customFormat="1">
      <c r="A833" s="23">
        <v>833</v>
      </c>
      <c r="C833" s="2" t="s">
        <v>22</v>
      </c>
    </row>
    <row r="834" spans="1:4" s="1" customFormat="1">
      <c r="A834" s="23">
        <v>834</v>
      </c>
      <c r="C834" s="2" t="s">
        <v>23</v>
      </c>
    </row>
    <row r="835" spans="1:4" s="1" customFormat="1">
      <c r="A835" s="23">
        <v>835</v>
      </c>
      <c r="C835" s="2" t="s">
        <v>24</v>
      </c>
    </row>
    <row r="836" spans="1:4" s="1" customFormat="1">
      <c r="A836" s="23">
        <v>836</v>
      </c>
      <c r="C836" s="2" t="s">
        <v>150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4.2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15</v>
      </c>
      <c r="D841" s="1" t="s">
        <v>164</v>
      </c>
    </row>
    <row r="842" spans="1:4" s="1" customFormat="1">
      <c r="A842" s="23">
        <v>842</v>
      </c>
      <c r="C842" s="2" t="s">
        <v>16</v>
      </c>
    </row>
    <row r="843" spans="1:4" s="1" customFormat="1">
      <c r="A843" s="23">
        <v>843</v>
      </c>
      <c r="C843" s="2" t="s">
        <v>17</v>
      </c>
    </row>
    <row r="844" spans="1:4" s="1" customFormat="1">
      <c r="A844" s="23">
        <v>844</v>
      </c>
      <c r="C844" s="2" t="s">
        <v>18</v>
      </c>
    </row>
    <row r="845" spans="1:4" s="1" customFormat="1">
      <c r="A845" s="23">
        <v>845</v>
      </c>
      <c r="C845" s="2" t="s">
        <v>19</v>
      </c>
    </row>
    <row r="846" spans="1:4" s="1" customFormat="1">
      <c r="A846" s="23">
        <v>846</v>
      </c>
      <c r="C846" s="2" t="s">
        <v>20</v>
      </c>
    </row>
    <row r="847" spans="1:4" s="1" customFormat="1">
      <c r="A847" s="23">
        <v>847</v>
      </c>
      <c r="C847" s="2" t="s">
        <v>21</v>
      </c>
    </row>
    <row r="848" spans="1:4" s="1" customFormat="1">
      <c r="A848" s="23">
        <v>848</v>
      </c>
      <c r="C848" s="2" t="s">
        <v>22</v>
      </c>
    </row>
    <row r="849" spans="1:4" s="1" customFormat="1">
      <c r="A849" s="23">
        <v>849</v>
      </c>
      <c r="C849" s="2" t="s">
        <v>23</v>
      </c>
    </row>
    <row r="850" spans="1:4" s="1" customFormat="1">
      <c r="A850" s="23">
        <v>850</v>
      </c>
      <c r="C850" s="2" t="s">
        <v>24</v>
      </c>
    </row>
    <row r="851" spans="1:4" s="1" customFormat="1">
      <c r="A851" s="23">
        <v>851</v>
      </c>
      <c r="C851" s="2" t="s">
        <v>150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4.2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15</v>
      </c>
      <c r="D856" s="1" t="s">
        <v>165</v>
      </c>
    </row>
    <row r="857" spans="1:4" s="1" customFormat="1">
      <c r="A857" s="23">
        <v>857</v>
      </c>
      <c r="C857" s="2" t="s">
        <v>16</v>
      </c>
    </row>
    <row r="858" spans="1:4" s="1" customFormat="1">
      <c r="A858" s="23">
        <v>858</v>
      </c>
      <c r="C858" s="2" t="s">
        <v>17</v>
      </c>
    </row>
    <row r="859" spans="1:4" s="1" customFormat="1">
      <c r="A859" s="23">
        <v>859</v>
      </c>
      <c r="C859" s="2" t="s">
        <v>18</v>
      </c>
    </row>
    <row r="860" spans="1:4" s="1" customFormat="1">
      <c r="A860" s="23">
        <v>860</v>
      </c>
      <c r="C860" s="2" t="s">
        <v>19</v>
      </c>
    </row>
    <row r="861" spans="1:4" s="1" customFormat="1">
      <c r="A861" s="23">
        <v>861</v>
      </c>
      <c r="C861" s="2" t="s">
        <v>20</v>
      </c>
    </row>
    <row r="862" spans="1:4" s="1" customFormat="1">
      <c r="A862" s="23">
        <v>862</v>
      </c>
      <c r="C862" s="2" t="s">
        <v>21</v>
      </c>
    </row>
    <row r="863" spans="1:4" s="1" customFormat="1">
      <c r="A863" s="23">
        <v>863</v>
      </c>
      <c r="C863" s="2" t="s">
        <v>22</v>
      </c>
    </row>
    <row r="864" spans="1:4" s="1" customFormat="1">
      <c r="A864" s="23">
        <v>864</v>
      </c>
      <c r="C864" s="2" t="s">
        <v>23</v>
      </c>
    </row>
    <row r="865" spans="1:4" s="1" customFormat="1">
      <c r="A865" s="23">
        <v>865</v>
      </c>
      <c r="C865" s="2" t="s">
        <v>24</v>
      </c>
    </row>
    <row r="866" spans="1:4" s="1" customFormat="1">
      <c r="A866" s="23">
        <v>866</v>
      </c>
      <c r="C866" s="2" t="s">
        <v>150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4.25" thickBot="1">
      <c r="A870" s="23">
        <v>870</v>
      </c>
      <c r="B870" s="13"/>
      <c r="C870" s="14" t="s">
        <v>8</v>
      </c>
    </row>
    <row r="871" spans="1:4">
      <c r="A871" s="23">
        <v>871</v>
      </c>
      <c r="B871" s="29"/>
      <c r="C871" s="30" t="s">
        <v>451</v>
      </c>
      <c r="D871" s="29" t="s">
        <v>453</v>
      </c>
    </row>
    <row r="872" spans="1:4">
      <c r="A872" s="23">
        <v>872</v>
      </c>
      <c r="B872" s="29"/>
      <c r="C872" s="30" t="s">
        <v>452</v>
      </c>
      <c r="D872" s="29"/>
    </row>
    <row r="873" spans="1:4">
      <c r="A873" s="23">
        <v>873</v>
      </c>
      <c r="B873" s="29"/>
      <c r="C873" s="30" t="s">
        <v>451</v>
      </c>
      <c r="D873" s="29" t="s">
        <v>454</v>
      </c>
    </row>
    <row r="874" spans="1:4">
      <c r="A874" s="23">
        <v>874</v>
      </c>
      <c r="B874" s="29"/>
      <c r="C874" s="30" t="s">
        <v>452</v>
      </c>
      <c r="D874" s="29"/>
    </row>
    <row r="875" spans="1:4">
      <c r="A875" s="23">
        <v>875</v>
      </c>
      <c r="B875" s="29"/>
      <c r="C875" s="30" t="s">
        <v>451</v>
      </c>
      <c r="D875" s="29" t="s">
        <v>455</v>
      </c>
    </row>
    <row r="876" spans="1:4">
      <c r="A876" s="23">
        <v>876</v>
      </c>
      <c r="B876" s="29"/>
      <c r="C876" s="30" t="s">
        <v>452</v>
      </c>
      <c r="D876" s="29"/>
    </row>
    <row r="877" spans="1:4">
      <c r="A877" s="23">
        <v>877</v>
      </c>
      <c r="B877" s="29"/>
      <c r="C877" s="30" t="s">
        <v>451</v>
      </c>
      <c r="D877" s="29" t="s">
        <v>456</v>
      </c>
    </row>
    <row r="878" spans="1:4">
      <c r="A878" s="23">
        <v>878</v>
      </c>
      <c r="B878" s="29"/>
      <c r="C878" s="30" t="s">
        <v>452</v>
      </c>
      <c r="D878" s="29"/>
    </row>
    <row r="879" spans="1:4">
      <c r="A879" s="23">
        <v>879</v>
      </c>
      <c r="B879" s="29"/>
      <c r="C879" s="30" t="s">
        <v>451</v>
      </c>
      <c r="D879" s="29" t="s">
        <v>457</v>
      </c>
    </row>
    <row r="880" spans="1:4">
      <c r="A880" s="23">
        <v>880</v>
      </c>
      <c r="B880" s="29"/>
      <c r="C880" s="30" t="s">
        <v>452</v>
      </c>
      <c r="D880" s="29"/>
    </row>
    <row r="881" spans="1:4">
      <c r="A881" s="23">
        <v>881</v>
      </c>
      <c r="B881" s="29"/>
      <c r="C881" s="30" t="s">
        <v>451</v>
      </c>
      <c r="D881" s="29" t="s">
        <v>458</v>
      </c>
    </row>
    <row r="882" spans="1:4">
      <c r="A882" s="23">
        <v>882</v>
      </c>
      <c r="B882" s="29"/>
      <c r="C882" s="30" t="s">
        <v>452</v>
      </c>
      <c r="D882" s="29"/>
    </row>
    <row r="883" spans="1:4">
      <c r="A883" s="23">
        <v>883</v>
      </c>
      <c r="B883" s="29"/>
      <c r="C883" s="30" t="s">
        <v>451</v>
      </c>
      <c r="D883" s="29" t="s">
        <v>459</v>
      </c>
    </row>
    <row r="884" spans="1:4" ht="14.25" thickBot="1">
      <c r="A884" s="23">
        <v>884</v>
      </c>
      <c r="B884" s="31"/>
      <c r="C884" s="32" t="s">
        <v>452</v>
      </c>
      <c r="D884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1A1B-DAFC-4486-BDB2-9DAEECCE07D9}">
  <sheetPr codeName="Sheet6"/>
  <dimension ref="A1:X85"/>
  <sheetViews>
    <sheetView tabSelected="1" topLeftCell="A35" zoomScaleNormal="100" zoomScaleSheetLayoutView="70" workbookViewId="0">
      <selection activeCell="K80" sqref="K80"/>
    </sheetView>
  </sheetViews>
  <sheetFormatPr defaultColWidth="9" defaultRowHeight="22.5" customHeight="1"/>
  <cols>
    <col min="1" max="1" width="0.75" style="36" customWidth="1"/>
    <col min="2" max="2" width="10.375" style="36" customWidth="1"/>
    <col min="3" max="3" width="13.125" style="36" customWidth="1"/>
    <col min="4" max="7" width="7.5" style="38" customWidth="1"/>
    <col min="8" max="17" width="7.5" style="36" customWidth="1"/>
    <col min="18" max="18" width="0.625" style="36" customWidth="1"/>
    <col min="19" max="21" width="7.5" style="36" customWidth="1"/>
    <col min="22" max="22" width="5.625" style="38" customWidth="1"/>
    <col min="23" max="23" width="9.5" style="36" customWidth="1"/>
    <col min="24" max="24" width="1" style="36" customWidth="1"/>
    <col min="25" max="25" width="3.625" style="36" customWidth="1"/>
    <col min="26" max="16384" width="9" style="36"/>
  </cols>
  <sheetData>
    <row r="1" spans="1:23" ht="42" customHeight="1">
      <c r="D1" s="37" t="s">
        <v>305</v>
      </c>
      <c r="W1" s="39"/>
    </row>
    <row r="2" spans="1:23" ht="20.25" customHeight="1">
      <c r="A2" s="152" t="s">
        <v>40</v>
      </c>
      <c r="B2" s="153"/>
      <c r="C2" s="154"/>
      <c r="D2" s="140" t="s">
        <v>277</v>
      </c>
      <c r="E2" s="141"/>
      <c r="F2" s="141"/>
      <c r="G2" s="141"/>
      <c r="H2" s="141"/>
      <c r="I2" s="40"/>
      <c r="J2" s="40"/>
      <c r="K2" s="41"/>
      <c r="L2" s="141" t="s">
        <v>41</v>
      </c>
      <c r="M2" s="40"/>
      <c r="N2" s="40"/>
      <c r="O2" s="40"/>
      <c r="P2" s="42" t="s">
        <v>613</v>
      </c>
      <c r="Q2" s="40"/>
      <c r="R2" s="40"/>
      <c r="S2" s="40"/>
      <c r="T2" s="141"/>
      <c r="U2" s="141"/>
      <c r="V2" s="141"/>
      <c r="W2" s="142"/>
    </row>
    <row r="3" spans="1:23" ht="20.25" customHeight="1">
      <c r="A3" s="152" t="s">
        <v>42</v>
      </c>
      <c r="B3" s="153"/>
      <c r="C3" s="154"/>
      <c r="D3" s="140" t="s">
        <v>303</v>
      </c>
      <c r="E3" s="141"/>
      <c r="F3" s="141"/>
      <c r="G3" s="141"/>
      <c r="H3" s="141"/>
      <c r="I3" s="40"/>
      <c r="J3" s="40"/>
      <c r="K3" s="41"/>
      <c r="L3" s="141" t="s">
        <v>43</v>
      </c>
      <c r="M3" s="40"/>
      <c r="N3" s="40"/>
      <c r="O3" s="40"/>
      <c r="P3" s="42" t="s">
        <v>145</v>
      </c>
      <c r="Q3" s="40"/>
      <c r="R3" s="40"/>
      <c r="S3" s="40"/>
      <c r="T3" s="43"/>
      <c r="U3" s="141"/>
      <c r="V3" s="141"/>
      <c r="W3" s="142"/>
    </row>
    <row r="4" spans="1:23" ht="20.25" customHeight="1">
      <c r="A4" s="152" t="s">
        <v>9</v>
      </c>
      <c r="B4" s="153"/>
      <c r="C4" s="154"/>
      <c r="D4" s="44" t="s">
        <v>93</v>
      </c>
      <c r="E4" s="45"/>
      <c r="F4" s="45"/>
      <c r="G4" s="45"/>
      <c r="H4" s="45"/>
      <c r="I4" s="45"/>
      <c r="J4" s="40"/>
      <c r="K4" s="41"/>
      <c r="L4" s="141" t="s">
        <v>44</v>
      </c>
      <c r="M4" s="141"/>
      <c r="N4" s="40"/>
      <c r="O4" s="40"/>
      <c r="P4" s="46" t="s">
        <v>91</v>
      </c>
      <c r="Q4" s="141" t="s">
        <v>11</v>
      </c>
      <c r="R4" s="141"/>
      <c r="S4" s="141" t="s">
        <v>45</v>
      </c>
      <c r="T4" s="47" t="s">
        <v>94</v>
      </c>
      <c r="U4" s="48" t="s">
        <v>11</v>
      </c>
      <c r="V4" s="141"/>
      <c r="W4" s="142"/>
    </row>
    <row r="5" spans="1:23" ht="20.25" customHeight="1">
      <c r="A5" s="152" t="s">
        <v>10</v>
      </c>
      <c r="B5" s="153"/>
      <c r="C5" s="154"/>
      <c r="D5" s="49" t="s">
        <v>95</v>
      </c>
      <c r="E5" s="50"/>
      <c r="F5" s="50"/>
      <c r="G5" s="141"/>
      <c r="H5" s="141"/>
      <c r="I5" s="40"/>
      <c r="J5" s="40"/>
      <c r="K5" s="41"/>
      <c r="L5" s="141" t="s">
        <v>46</v>
      </c>
      <c r="M5" s="51"/>
      <c r="N5" s="51"/>
      <c r="O5" s="40"/>
      <c r="P5" s="44" t="s">
        <v>218</v>
      </c>
      <c r="Q5" s="47"/>
      <c r="R5" s="47"/>
      <c r="S5" s="47"/>
      <c r="T5" s="47"/>
      <c r="U5" s="47"/>
      <c r="V5" s="141"/>
      <c r="W5" s="142"/>
    </row>
    <row r="6" spans="1:23" ht="20.25" customHeight="1">
      <c r="A6" s="152" t="s">
        <v>47</v>
      </c>
      <c r="B6" s="153"/>
      <c r="C6" s="154"/>
      <c r="D6" s="44" t="s">
        <v>90</v>
      </c>
      <c r="E6" s="141" t="s">
        <v>48</v>
      </c>
      <c r="F6" s="47" t="s">
        <v>242</v>
      </c>
      <c r="G6" s="141" t="s">
        <v>12</v>
      </c>
      <c r="H6" s="40"/>
      <c r="I6" s="40"/>
      <c r="J6" s="40"/>
      <c r="K6" s="41"/>
      <c r="L6" s="141" t="s">
        <v>306</v>
      </c>
      <c r="M6" s="51"/>
      <c r="N6" s="51"/>
      <c r="O6" s="40"/>
      <c r="P6" s="140" t="s">
        <v>219</v>
      </c>
      <c r="Q6" s="141"/>
      <c r="R6" s="141"/>
      <c r="S6" s="141"/>
      <c r="T6" s="141"/>
      <c r="U6" s="141"/>
      <c r="V6" s="141"/>
      <c r="W6" s="142"/>
    </row>
    <row r="7" spans="1:23" ht="8.25" customHeight="1"/>
    <row r="8" spans="1:23" s="56" customFormat="1" ht="27" customHeight="1">
      <c r="A8" s="155" t="s">
        <v>1</v>
      </c>
      <c r="B8" s="156"/>
      <c r="C8" s="157"/>
      <c r="D8" s="52" t="s">
        <v>2</v>
      </c>
      <c r="E8" s="53" t="s">
        <v>307</v>
      </c>
      <c r="F8" s="54" t="s">
        <v>49</v>
      </c>
      <c r="G8" s="54" t="s">
        <v>50</v>
      </c>
      <c r="H8" s="52" t="s">
        <v>51</v>
      </c>
      <c r="I8" s="52" t="s">
        <v>52</v>
      </c>
      <c r="J8" s="52" t="s">
        <v>53</v>
      </c>
      <c r="K8" s="52" t="s">
        <v>54</v>
      </c>
      <c r="L8" s="52" t="s">
        <v>55</v>
      </c>
      <c r="M8" s="52" t="s">
        <v>56</v>
      </c>
      <c r="N8" s="52" t="s">
        <v>57</v>
      </c>
      <c r="O8" s="52" t="s">
        <v>58</v>
      </c>
      <c r="P8" s="52" t="s">
        <v>59</v>
      </c>
      <c r="Q8" s="52" t="s">
        <v>60</v>
      </c>
      <c r="R8" s="155" t="s">
        <v>61</v>
      </c>
      <c r="S8" s="157"/>
      <c r="T8" s="52" t="s">
        <v>62</v>
      </c>
      <c r="U8" s="52" t="s">
        <v>63</v>
      </c>
      <c r="V8" s="55" t="s">
        <v>64</v>
      </c>
      <c r="W8" s="52" t="s">
        <v>65</v>
      </c>
    </row>
    <row r="9" spans="1:23" ht="22.5" customHeight="1">
      <c r="A9" s="57" t="s">
        <v>308</v>
      </c>
      <c r="B9" s="58"/>
      <c r="C9" s="59" t="s">
        <v>110</v>
      </c>
      <c r="D9" s="60" t="s">
        <v>111</v>
      </c>
      <c r="E9" s="60" t="s">
        <v>112</v>
      </c>
      <c r="F9" s="60" t="s">
        <v>113</v>
      </c>
      <c r="G9" s="60" t="s">
        <v>225</v>
      </c>
      <c r="H9" s="33" t="s">
        <v>138</v>
      </c>
      <c r="I9" s="33" t="s">
        <v>102</v>
      </c>
      <c r="J9" s="33" t="s">
        <v>103</v>
      </c>
      <c r="K9" s="33" t="s">
        <v>104</v>
      </c>
      <c r="L9" s="33" t="s">
        <v>105</v>
      </c>
      <c r="M9" s="33" t="s">
        <v>309</v>
      </c>
      <c r="N9" s="33" t="s">
        <v>310</v>
      </c>
      <c r="O9" s="33" t="s">
        <v>311</v>
      </c>
      <c r="P9" s="33" t="s">
        <v>312</v>
      </c>
      <c r="Q9" s="33" t="s">
        <v>500</v>
      </c>
      <c r="R9" s="150" t="e">
        <f t="shared" ref="R9:R18" si="0">IF(C9&lt;&gt;"",AVERAGE(H9:Q9),"")</f>
        <v>#DIV/0!</v>
      </c>
      <c r="S9" s="151"/>
      <c r="T9" s="61">
        <f>IF(C9&lt;&gt;"",MAX(H9:Q9),"")</f>
        <v>0</v>
      </c>
      <c r="U9" s="61">
        <f>IF(C9&lt;&gt;"",MIN(H9:Q9),"")</f>
        <v>0</v>
      </c>
      <c r="V9" s="62" t="str">
        <f>IF(SUM(H9:Q9)&gt;0,IF(OR(MIN(H9:Q9)&lt;G9,MAX(H9:Q9)&gt;F9),"NG","G"),"")</f>
        <v/>
      </c>
      <c r="W9" s="63" t="s">
        <v>146</v>
      </c>
    </row>
    <row r="10" spans="1:23" ht="22.5" customHeight="1">
      <c r="A10" s="64"/>
      <c r="B10" s="65"/>
      <c r="C10" s="66" t="s">
        <v>114</v>
      </c>
      <c r="D10" s="67" t="s">
        <v>115</v>
      </c>
      <c r="E10" s="68" t="s">
        <v>116</v>
      </c>
      <c r="F10" s="71" t="s">
        <v>117</v>
      </c>
      <c r="G10" s="71" t="s">
        <v>226</v>
      </c>
      <c r="H10" s="34" t="s">
        <v>139</v>
      </c>
      <c r="I10" s="34" t="s">
        <v>140</v>
      </c>
      <c r="J10" s="34" t="s">
        <v>141</v>
      </c>
      <c r="K10" s="34" t="s">
        <v>142</v>
      </c>
      <c r="L10" s="34" t="s">
        <v>143</v>
      </c>
      <c r="M10" s="34" t="s">
        <v>313</v>
      </c>
      <c r="N10" s="34" t="s">
        <v>314</v>
      </c>
      <c r="O10" s="34" t="s">
        <v>315</v>
      </c>
      <c r="P10" s="34" t="s">
        <v>316</v>
      </c>
      <c r="Q10" s="34" t="s">
        <v>317</v>
      </c>
      <c r="R10" s="150" t="e">
        <f t="shared" si="0"/>
        <v>#DIV/0!</v>
      </c>
      <c r="S10" s="151"/>
      <c r="T10" s="61">
        <f t="shared" ref="T10:T18" si="1">IF(C10&lt;&gt;"",MAX(H10:Q10),"")</f>
        <v>0</v>
      </c>
      <c r="U10" s="61">
        <f t="shared" ref="U10:U28" si="2">IF(C10&lt;&gt;"",MIN(H10:Q10),"")</f>
        <v>0</v>
      </c>
      <c r="V10" s="62" t="str">
        <f t="shared" ref="V10:V28" si="3">IF(SUM(H10:Q10)&gt;0,IF(OR(MIN(H10:Q10)&lt;G10,MAX(H10:Q10)&gt;F10),"NG","G"),"")</f>
        <v/>
      </c>
      <c r="W10" s="69" t="s">
        <v>147</v>
      </c>
    </row>
    <row r="11" spans="1:23" ht="22.5" customHeight="1">
      <c r="A11" s="64"/>
      <c r="B11" s="65"/>
      <c r="C11" s="66" t="s">
        <v>122</v>
      </c>
      <c r="D11" s="67" t="s">
        <v>118</v>
      </c>
      <c r="E11" s="68" t="s">
        <v>119</v>
      </c>
      <c r="F11" s="71" t="s">
        <v>120</v>
      </c>
      <c r="G11" s="71" t="s">
        <v>227</v>
      </c>
      <c r="H11" s="34" t="s">
        <v>144</v>
      </c>
      <c r="I11" s="34" t="s">
        <v>106</v>
      </c>
      <c r="J11" s="34" t="s">
        <v>107</v>
      </c>
      <c r="K11" s="34" t="s">
        <v>108</v>
      </c>
      <c r="L11" s="34" t="s">
        <v>109</v>
      </c>
      <c r="M11" s="34" t="s">
        <v>318</v>
      </c>
      <c r="N11" s="34" t="s">
        <v>319</v>
      </c>
      <c r="O11" s="34" t="s">
        <v>320</v>
      </c>
      <c r="P11" s="34" t="s">
        <v>321</v>
      </c>
      <c r="Q11" s="34" t="s">
        <v>322</v>
      </c>
      <c r="R11" s="150" t="e">
        <f t="shared" si="0"/>
        <v>#DIV/0!</v>
      </c>
      <c r="S11" s="151"/>
      <c r="T11" s="61">
        <f t="shared" si="1"/>
        <v>0</v>
      </c>
      <c r="U11" s="61">
        <f t="shared" si="2"/>
        <v>0</v>
      </c>
      <c r="V11" s="62" t="str">
        <f t="shared" si="3"/>
        <v/>
      </c>
      <c r="W11" s="69" t="s">
        <v>148</v>
      </c>
    </row>
    <row r="12" spans="1:23" ht="22.5" customHeight="1">
      <c r="A12" s="64"/>
      <c r="B12" s="65"/>
      <c r="C12" s="66" t="s">
        <v>121</v>
      </c>
      <c r="D12" s="67" t="s">
        <v>123</v>
      </c>
      <c r="E12" s="68" t="s">
        <v>124</v>
      </c>
      <c r="F12" s="71" t="s">
        <v>125</v>
      </c>
      <c r="G12" s="71" t="s">
        <v>228</v>
      </c>
      <c r="H12" s="34" t="s">
        <v>298</v>
      </c>
      <c r="I12" s="34" t="s">
        <v>299</v>
      </c>
      <c r="J12" s="34" t="s">
        <v>300</v>
      </c>
      <c r="K12" s="34" t="s">
        <v>301</v>
      </c>
      <c r="L12" s="34" t="s">
        <v>302</v>
      </c>
      <c r="M12" s="34" t="s">
        <v>323</v>
      </c>
      <c r="N12" s="34" t="s">
        <v>324</v>
      </c>
      <c r="O12" s="34" t="s">
        <v>325</v>
      </c>
      <c r="P12" s="34" t="s">
        <v>326</v>
      </c>
      <c r="Q12" s="34" t="s">
        <v>327</v>
      </c>
      <c r="R12" s="150" t="e">
        <f>IF(C12&lt;&gt;"",AVERAGE(H12:Q12),"")</f>
        <v>#DIV/0!</v>
      </c>
      <c r="S12" s="151"/>
      <c r="T12" s="61">
        <f t="shared" si="1"/>
        <v>0</v>
      </c>
      <c r="U12" s="61">
        <f t="shared" si="2"/>
        <v>0</v>
      </c>
      <c r="V12" s="62" t="str">
        <f t="shared" si="3"/>
        <v/>
      </c>
      <c r="W12" s="69" t="s">
        <v>149</v>
      </c>
    </row>
    <row r="13" spans="1:23" ht="22.5" customHeight="1">
      <c r="A13" s="64"/>
      <c r="B13" s="65"/>
      <c r="C13" s="66" t="s">
        <v>465</v>
      </c>
      <c r="D13" s="67" t="s">
        <v>466</v>
      </c>
      <c r="E13" s="68" t="s">
        <v>467</v>
      </c>
      <c r="F13" s="71" t="s">
        <v>468</v>
      </c>
      <c r="G13" s="71" t="s">
        <v>469</v>
      </c>
      <c r="H13" s="34" t="s">
        <v>501</v>
      </c>
      <c r="I13" s="34" t="s">
        <v>502</v>
      </c>
      <c r="J13" s="34" t="s">
        <v>503</v>
      </c>
      <c r="K13" s="34" t="s">
        <v>504</v>
      </c>
      <c r="L13" s="34" t="s">
        <v>505</v>
      </c>
      <c r="M13" s="34" t="s">
        <v>506</v>
      </c>
      <c r="N13" s="34" t="s">
        <v>507</v>
      </c>
      <c r="O13" s="34" t="s">
        <v>508</v>
      </c>
      <c r="P13" s="34" t="s">
        <v>509</v>
      </c>
      <c r="Q13" s="34" t="s">
        <v>510</v>
      </c>
      <c r="R13" s="150" t="e">
        <f t="shared" ref="R13:R16" si="4">IF(C13&lt;&gt;"",AVERAGE(H13:Q13),"")</f>
        <v>#DIV/0!</v>
      </c>
      <c r="S13" s="151"/>
      <c r="T13" s="61">
        <f t="shared" si="1"/>
        <v>0</v>
      </c>
      <c r="U13" s="61">
        <f t="shared" si="2"/>
        <v>0</v>
      </c>
      <c r="V13" s="62" t="str">
        <f t="shared" si="3"/>
        <v/>
      </c>
      <c r="W13" s="69" t="s">
        <v>561</v>
      </c>
    </row>
    <row r="14" spans="1:23" ht="22.5" customHeight="1">
      <c r="A14" s="64"/>
      <c r="B14" s="65"/>
      <c r="C14" s="66" t="s">
        <v>470</v>
      </c>
      <c r="D14" s="67" t="s">
        <v>471</v>
      </c>
      <c r="E14" s="68" t="s">
        <v>472</v>
      </c>
      <c r="F14" s="71" t="s">
        <v>473</v>
      </c>
      <c r="G14" s="71" t="s">
        <v>474</v>
      </c>
      <c r="H14" s="34" t="s">
        <v>511</v>
      </c>
      <c r="I14" s="34" t="s">
        <v>512</v>
      </c>
      <c r="J14" s="34" t="s">
        <v>513</v>
      </c>
      <c r="K14" s="34" t="s">
        <v>514</v>
      </c>
      <c r="L14" s="34" t="s">
        <v>515</v>
      </c>
      <c r="M14" s="34" t="s">
        <v>516</v>
      </c>
      <c r="N14" s="34" t="s">
        <v>517</v>
      </c>
      <c r="O14" s="34" t="s">
        <v>518</v>
      </c>
      <c r="P14" s="34" t="s">
        <v>519</v>
      </c>
      <c r="Q14" s="34" t="s">
        <v>520</v>
      </c>
      <c r="R14" s="150" t="e">
        <f t="shared" si="4"/>
        <v>#DIV/0!</v>
      </c>
      <c r="S14" s="151"/>
      <c r="T14" s="61">
        <f t="shared" si="1"/>
        <v>0</v>
      </c>
      <c r="U14" s="61">
        <f t="shared" si="2"/>
        <v>0</v>
      </c>
      <c r="V14" s="62" t="str">
        <f t="shared" si="3"/>
        <v/>
      </c>
      <c r="W14" s="69" t="s">
        <v>562</v>
      </c>
    </row>
    <row r="15" spans="1:23" ht="22.5" customHeight="1">
      <c r="A15" s="64"/>
      <c r="B15" s="65"/>
      <c r="C15" s="66" t="s">
        <v>475</v>
      </c>
      <c r="D15" s="67" t="s">
        <v>476</v>
      </c>
      <c r="E15" s="68" t="s">
        <v>477</v>
      </c>
      <c r="F15" s="71" t="s">
        <v>478</v>
      </c>
      <c r="G15" s="71" t="s">
        <v>479</v>
      </c>
      <c r="H15" s="34" t="s">
        <v>521</v>
      </c>
      <c r="I15" s="34" t="s">
        <v>522</v>
      </c>
      <c r="J15" s="34" t="s">
        <v>523</v>
      </c>
      <c r="K15" s="34" t="s">
        <v>524</v>
      </c>
      <c r="L15" s="34" t="s">
        <v>525</v>
      </c>
      <c r="M15" s="34" t="s">
        <v>526</v>
      </c>
      <c r="N15" s="34" t="s">
        <v>527</v>
      </c>
      <c r="O15" s="34" t="s">
        <v>528</v>
      </c>
      <c r="P15" s="34" t="s">
        <v>529</v>
      </c>
      <c r="Q15" s="34" t="s">
        <v>530</v>
      </c>
      <c r="R15" s="150" t="e">
        <f t="shared" si="4"/>
        <v>#DIV/0!</v>
      </c>
      <c r="S15" s="151"/>
      <c r="T15" s="61">
        <f t="shared" si="1"/>
        <v>0</v>
      </c>
      <c r="U15" s="61">
        <f t="shared" si="2"/>
        <v>0</v>
      </c>
      <c r="V15" s="62" t="str">
        <f t="shared" si="3"/>
        <v/>
      </c>
      <c r="W15" s="69" t="s">
        <v>563</v>
      </c>
    </row>
    <row r="16" spans="1:23" ht="22.5" customHeight="1">
      <c r="A16" s="64"/>
      <c r="B16" s="65"/>
      <c r="C16" s="66" t="s">
        <v>480</v>
      </c>
      <c r="D16" s="67" t="s">
        <v>481</v>
      </c>
      <c r="E16" s="68" t="s">
        <v>482</v>
      </c>
      <c r="F16" s="71" t="s">
        <v>483</v>
      </c>
      <c r="G16" s="71" t="s">
        <v>484</v>
      </c>
      <c r="H16" s="34" t="s">
        <v>531</v>
      </c>
      <c r="I16" s="34" t="s">
        <v>532</v>
      </c>
      <c r="J16" s="34" t="s">
        <v>533</v>
      </c>
      <c r="K16" s="34" t="s">
        <v>534</v>
      </c>
      <c r="L16" s="34" t="s">
        <v>535</v>
      </c>
      <c r="M16" s="34" t="s">
        <v>536</v>
      </c>
      <c r="N16" s="34" t="s">
        <v>537</v>
      </c>
      <c r="O16" s="34" t="s">
        <v>538</v>
      </c>
      <c r="P16" s="34" t="s">
        <v>539</v>
      </c>
      <c r="Q16" s="34" t="s">
        <v>540</v>
      </c>
      <c r="R16" s="150" t="e">
        <f t="shared" si="4"/>
        <v>#DIV/0!</v>
      </c>
      <c r="S16" s="151"/>
      <c r="T16" s="61">
        <f t="shared" si="1"/>
        <v>0</v>
      </c>
      <c r="U16" s="61">
        <f t="shared" si="2"/>
        <v>0</v>
      </c>
      <c r="V16" s="62" t="str">
        <f t="shared" si="3"/>
        <v/>
      </c>
      <c r="W16" s="69" t="s">
        <v>564</v>
      </c>
    </row>
    <row r="17" spans="1:23" ht="22.5" customHeight="1">
      <c r="A17" s="64"/>
      <c r="B17" s="65"/>
      <c r="C17" s="70" t="s">
        <v>485</v>
      </c>
      <c r="D17" s="67" t="s">
        <v>486</v>
      </c>
      <c r="E17" s="71" t="s">
        <v>487</v>
      </c>
      <c r="F17" s="71" t="s">
        <v>488</v>
      </c>
      <c r="G17" s="71" t="s">
        <v>489</v>
      </c>
      <c r="H17" s="34" t="s">
        <v>541</v>
      </c>
      <c r="I17" s="34" t="s">
        <v>542</v>
      </c>
      <c r="J17" s="34" t="s">
        <v>543</v>
      </c>
      <c r="K17" s="34" t="s">
        <v>544</v>
      </c>
      <c r="L17" s="34" t="s">
        <v>545</v>
      </c>
      <c r="M17" s="34" t="s">
        <v>546</v>
      </c>
      <c r="N17" s="34" t="s">
        <v>547</v>
      </c>
      <c r="O17" s="34" t="s">
        <v>548</v>
      </c>
      <c r="P17" s="34" t="s">
        <v>549</v>
      </c>
      <c r="Q17" s="34" t="s">
        <v>550</v>
      </c>
      <c r="R17" s="150" t="e">
        <f t="shared" si="0"/>
        <v>#DIV/0!</v>
      </c>
      <c r="S17" s="151"/>
      <c r="T17" s="61">
        <f t="shared" si="1"/>
        <v>0</v>
      </c>
      <c r="U17" s="61">
        <f t="shared" si="2"/>
        <v>0</v>
      </c>
      <c r="V17" s="62" t="str">
        <f t="shared" si="3"/>
        <v/>
      </c>
      <c r="W17" s="69" t="s">
        <v>565</v>
      </c>
    </row>
    <row r="18" spans="1:23" ht="22.5" customHeight="1">
      <c r="A18" s="64"/>
      <c r="B18" s="65"/>
      <c r="C18" s="66" t="s">
        <v>490</v>
      </c>
      <c r="D18" s="67" t="s">
        <v>491</v>
      </c>
      <c r="E18" s="71" t="s">
        <v>492</v>
      </c>
      <c r="F18" s="71" t="s">
        <v>493</v>
      </c>
      <c r="G18" s="71" t="s">
        <v>494</v>
      </c>
      <c r="H18" s="34" t="s">
        <v>551</v>
      </c>
      <c r="I18" s="34" t="s">
        <v>552</v>
      </c>
      <c r="J18" s="34" t="s">
        <v>553</v>
      </c>
      <c r="K18" s="34" t="s">
        <v>554</v>
      </c>
      <c r="L18" s="34" t="s">
        <v>555</v>
      </c>
      <c r="M18" s="34" t="s">
        <v>556</v>
      </c>
      <c r="N18" s="34" t="s">
        <v>557</v>
      </c>
      <c r="O18" s="34" t="s">
        <v>558</v>
      </c>
      <c r="P18" s="34" t="s">
        <v>559</v>
      </c>
      <c r="Q18" s="34" t="s">
        <v>560</v>
      </c>
      <c r="R18" s="150" t="e">
        <f t="shared" si="0"/>
        <v>#DIV/0!</v>
      </c>
      <c r="S18" s="151"/>
      <c r="T18" s="61">
        <f t="shared" si="1"/>
        <v>0</v>
      </c>
      <c r="U18" s="61">
        <f t="shared" si="2"/>
        <v>0</v>
      </c>
      <c r="V18" s="62" t="str">
        <f t="shared" si="3"/>
        <v/>
      </c>
      <c r="W18" s="69" t="s">
        <v>566</v>
      </c>
    </row>
    <row r="19" spans="1:23" ht="21.75" customHeight="1">
      <c r="A19" s="158" t="s">
        <v>81</v>
      </c>
      <c r="B19" s="159"/>
      <c r="C19" s="121" t="s">
        <v>248</v>
      </c>
      <c r="D19" s="67" t="s">
        <v>251</v>
      </c>
      <c r="E19" s="73" t="s">
        <v>252</v>
      </c>
      <c r="F19" s="67" t="s">
        <v>253</v>
      </c>
      <c r="G19" s="67" t="s">
        <v>262</v>
      </c>
      <c r="H19" s="34" t="s">
        <v>288</v>
      </c>
      <c r="I19" s="34" t="s">
        <v>289</v>
      </c>
      <c r="J19" s="34" t="s">
        <v>290</v>
      </c>
      <c r="K19" s="34" t="s">
        <v>291</v>
      </c>
      <c r="L19" s="34" t="s">
        <v>292</v>
      </c>
      <c r="M19" s="34" t="s">
        <v>328</v>
      </c>
      <c r="N19" s="34" t="s">
        <v>329</v>
      </c>
      <c r="O19" s="34" t="s">
        <v>330</v>
      </c>
      <c r="P19" s="34" t="s">
        <v>331</v>
      </c>
      <c r="Q19" s="34" t="s">
        <v>332</v>
      </c>
      <c r="R19" s="150" t="e">
        <f>IF(C19&lt;&gt;"",AVERAGE(H19:Q19),"")</f>
        <v>#DIV/0!</v>
      </c>
      <c r="S19" s="151"/>
      <c r="T19" s="61">
        <f>IF(C19&lt;&gt;"",MAX(H19:Q19),"")</f>
        <v>0</v>
      </c>
      <c r="U19" s="61">
        <f t="shared" si="2"/>
        <v>0</v>
      </c>
      <c r="V19" s="62" t="str">
        <f t="shared" si="3"/>
        <v/>
      </c>
      <c r="W19" s="63" t="s">
        <v>590</v>
      </c>
    </row>
    <row r="20" spans="1:23" ht="21.75" customHeight="1">
      <c r="A20" s="160"/>
      <c r="B20" s="161"/>
      <c r="C20" s="121" t="s">
        <v>249</v>
      </c>
      <c r="D20" s="67" t="s">
        <v>254</v>
      </c>
      <c r="E20" s="73" t="s">
        <v>255</v>
      </c>
      <c r="F20" s="67" t="s">
        <v>256</v>
      </c>
      <c r="G20" s="67" t="s">
        <v>263</v>
      </c>
      <c r="H20" s="34" t="s">
        <v>293</v>
      </c>
      <c r="I20" s="34" t="s">
        <v>294</v>
      </c>
      <c r="J20" s="34" t="s">
        <v>295</v>
      </c>
      <c r="K20" s="34" t="s">
        <v>296</v>
      </c>
      <c r="L20" s="34" t="s">
        <v>297</v>
      </c>
      <c r="M20" s="34" t="s">
        <v>333</v>
      </c>
      <c r="N20" s="34" t="s">
        <v>334</v>
      </c>
      <c r="O20" s="34" t="s">
        <v>335</v>
      </c>
      <c r="P20" s="34" t="s">
        <v>336</v>
      </c>
      <c r="Q20" s="34" t="s">
        <v>337</v>
      </c>
      <c r="R20" s="150" t="e">
        <f t="shared" ref="R20:R28" si="5">IF(C20&lt;&gt;"",AVERAGE(H20:Q20),"")</f>
        <v>#DIV/0!</v>
      </c>
      <c r="S20" s="151"/>
      <c r="T20" s="61">
        <f>IF(C20&lt;&gt;"",MAX(H20:Q20),"")</f>
        <v>0</v>
      </c>
      <c r="U20" s="61">
        <f t="shared" si="2"/>
        <v>0</v>
      </c>
      <c r="V20" s="62" t="str">
        <f t="shared" si="3"/>
        <v/>
      </c>
      <c r="W20" s="28" t="s">
        <v>260</v>
      </c>
    </row>
    <row r="21" spans="1:23" ht="21.75" customHeight="1">
      <c r="A21" s="160"/>
      <c r="B21" s="161"/>
      <c r="C21" s="121" t="s">
        <v>250</v>
      </c>
      <c r="D21" s="67" t="s">
        <v>257</v>
      </c>
      <c r="E21" s="73" t="s">
        <v>258</v>
      </c>
      <c r="F21" s="67" t="s">
        <v>259</v>
      </c>
      <c r="G21" s="67" t="s">
        <v>264</v>
      </c>
      <c r="H21" s="34" t="s">
        <v>166</v>
      </c>
      <c r="I21" s="34" t="s">
        <v>167</v>
      </c>
      <c r="J21" s="34" t="s">
        <v>168</v>
      </c>
      <c r="K21" s="34" t="s">
        <v>169</v>
      </c>
      <c r="L21" s="34" t="s">
        <v>170</v>
      </c>
      <c r="M21" s="35" t="s">
        <v>232</v>
      </c>
      <c r="N21" s="35" t="s">
        <v>338</v>
      </c>
      <c r="O21" s="35" t="s">
        <v>339</v>
      </c>
      <c r="P21" s="35" t="s">
        <v>340</v>
      </c>
      <c r="Q21" s="35" t="s">
        <v>341</v>
      </c>
      <c r="R21" s="150" t="e">
        <f t="shared" si="5"/>
        <v>#DIV/0!</v>
      </c>
      <c r="S21" s="151"/>
      <c r="T21" s="61">
        <f>IF(C21&lt;&gt;"",MAX(H21:Q21),"")</f>
        <v>0</v>
      </c>
      <c r="U21" s="61">
        <f t="shared" si="2"/>
        <v>0</v>
      </c>
      <c r="V21" s="62" t="str">
        <f t="shared" si="3"/>
        <v/>
      </c>
      <c r="W21" s="28" t="s">
        <v>261</v>
      </c>
    </row>
    <row r="22" spans="1:23" ht="21.75" customHeight="1">
      <c r="A22" s="160"/>
      <c r="B22" s="161"/>
      <c r="C22" s="121" t="s">
        <v>265</v>
      </c>
      <c r="D22" s="73" t="s">
        <v>267</v>
      </c>
      <c r="E22" s="73" t="s">
        <v>268</v>
      </c>
      <c r="F22" s="67" t="s">
        <v>271</v>
      </c>
      <c r="G22" s="67" t="s">
        <v>273</v>
      </c>
      <c r="H22" s="34" t="s">
        <v>171</v>
      </c>
      <c r="I22" s="34" t="s">
        <v>172</v>
      </c>
      <c r="J22" s="34" t="s">
        <v>173</v>
      </c>
      <c r="K22" s="34" t="s">
        <v>174</v>
      </c>
      <c r="L22" s="34" t="s">
        <v>175</v>
      </c>
      <c r="M22" s="34" t="s">
        <v>233</v>
      </c>
      <c r="N22" s="34" t="s">
        <v>342</v>
      </c>
      <c r="O22" s="34" t="s">
        <v>343</v>
      </c>
      <c r="P22" s="34" t="s">
        <v>344</v>
      </c>
      <c r="Q22" s="34" t="s">
        <v>345</v>
      </c>
      <c r="R22" s="150" t="e">
        <f t="shared" si="5"/>
        <v>#DIV/0!</v>
      </c>
      <c r="S22" s="151"/>
      <c r="T22" s="61">
        <f t="shared" ref="T22:T28" si="6">IF(C22&lt;&gt;"",MAX(H22:Q22),"")</f>
        <v>0</v>
      </c>
      <c r="U22" s="61">
        <f t="shared" si="2"/>
        <v>0</v>
      </c>
      <c r="V22" s="62" t="str">
        <f t="shared" si="3"/>
        <v/>
      </c>
      <c r="W22" s="28" t="s">
        <v>275</v>
      </c>
    </row>
    <row r="23" spans="1:23" ht="21.75" customHeight="1">
      <c r="A23" s="160"/>
      <c r="B23" s="161"/>
      <c r="C23" s="121" t="s">
        <v>266</v>
      </c>
      <c r="D23" s="73" t="s">
        <v>269</v>
      </c>
      <c r="E23" s="67" t="s">
        <v>270</v>
      </c>
      <c r="F23" s="67" t="s">
        <v>272</v>
      </c>
      <c r="G23" s="67" t="s">
        <v>274</v>
      </c>
      <c r="H23" s="34" t="s">
        <v>176</v>
      </c>
      <c r="I23" s="34" t="s">
        <v>177</v>
      </c>
      <c r="J23" s="34" t="s">
        <v>178</v>
      </c>
      <c r="K23" s="34" t="s">
        <v>179</v>
      </c>
      <c r="L23" s="34" t="s">
        <v>180</v>
      </c>
      <c r="M23" s="34" t="s">
        <v>234</v>
      </c>
      <c r="N23" s="34" t="s">
        <v>346</v>
      </c>
      <c r="O23" s="34" t="s">
        <v>347</v>
      </c>
      <c r="P23" s="34" t="s">
        <v>348</v>
      </c>
      <c r="Q23" s="34" t="s">
        <v>349</v>
      </c>
      <c r="R23" s="150" t="e">
        <f t="shared" si="5"/>
        <v>#DIV/0!</v>
      </c>
      <c r="S23" s="151"/>
      <c r="T23" s="61">
        <f t="shared" si="6"/>
        <v>0</v>
      </c>
      <c r="U23" s="61">
        <f t="shared" si="2"/>
        <v>0</v>
      </c>
      <c r="V23" s="62" t="str">
        <f t="shared" si="3"/>
        <v/>
      </c>
      <c r="W23" s="28" t="s">
        <v>276</v>
      </c>
    </row>
    <row r="24" spans="1:23" ht="21.75" customHeight="1">
      <c r="A24" s="160"/>
      <c r="B24" s="161"/>
      <c r="C24" s="121" t="s">
        <v>126</v>
      </c>
      <c r="D24" s="73" t="s">
        <v>127</v>
      </c>
      <c r="E24" s="73" t="s">
        <v>128</v>
      </c>
      <c r="F24" s="67" t="s">
        <v>129</v>
      </c>
      <c r="G24" s="67" t="s">
        <v>130</v>
      </c>
      <c r="H24" s="34" t="s">
        <v>181</v>
      </c>
      <c r="I24" s="34" t="s">
        <v>182</v>
      </c>
      <c r="J24" s="34" t="s">
        <v>183</v>
      </c>
      <c r="K24" s="34" t="s">
        <v>184</v>
      </c>
      <c r="L24" s="34" t="s">
        <v>185</v>
      </c>
      <c r="M24" s="34" t="s">
        <v>235</v>
      </c>
      <c r="N24" s="34" t="s">
        <v>350</v>
      </c>
      <c r="O24" s="34" t="s">
        <v>351</v>
      </c>
      <c r="P24" s="34" t="s">
        <v>352</v>
      </c>
      <c r="Q24" s="34" t="s">
        <v>353</v>
      </c>
      <c r="R24" s="150" t="e">
        <f t="shared" si="5"/>
        <v>#DIV/0!</v>
      </c>
      <c r="S24" s="151"/>
      <c r="T24" s="61">
        <f t="shared" si="6"/>
        <v>0</v>
      </c>
      <c r="U24" s="61">
        <f t="shared" si="2"/>
        <v>0</v>
      </c>
      <c r="V24" s="62" t="str">
        <f t="shared" si="3"/>
        <v/>
      </c>
      <c r="W24" s="28" t="s">
        <v>131</v>
      </c>
    </row>
    <row r="25" spans="1:23" ht="21.75" customHeight="1">
      <c r="A25" s="160"/>
      <c r="B25" s="161"/>
      <c r="C25" s="121" t="s">
        <v>354</v>
      </c>
      <c r="D25" s="67" t="s">
        <v>355</v>
      </c>
      <c r="E25" s="67" t="s">
        <v>356</v>
      </c>
      <c r="F25" s="67" t="s">
        <v>357</v>
      </c>
      <c r="G25" s="67" t="s">
        <v>132</v>
      </c>
      <c r="H25" s="34" t="s">
        <v>186</v>
      </c>
      <c r="I25" s="34" t="s">
        <v>187</v>
      </c>
      <c r="J25" s="34" t="s">
        <v>188</v>
      </c>
      <c r="K25" s="34" t="s">
        <v>189</v>
      </c>
      <c r="L25" s="34" t="s">
        <v>190</v>
      </c>
      <c r="M25" s="34" t="s">
        <v>236</v>
      </c>
      <c r="N25" s="34" t="s">
        <v>358</v>
      </c>
      <c r="O25" s="34" t="s">
        <v>359</v>
      </c>
      <c r="P25" s="34" t="s">
        <v>360</v>
      </c>
      <c r="Q25" s="34" t="s">
        <v>361</v>
      </c>
      <c r="R25" s="150" t="e">
        <f t="shared" si="5"/>
        <v>#DIV/0!</v>
      </c>
      <c r="S25" s="151"/>
      <c r="T25" s="61">
        <f t="shared" si="6"/>
        <v>0</v>
      </c>
      <c r="U25" s="61">
        <f t="shared" si="2"/>
        <v>0</v>
      </c>
      <c r="V25" s="62" t="str">
        <f t="shared" si="3"/>
        <v/>
      </c>
      <c r="W25" s="28" t="s">
        <v>133</v>
      </c>
    </row>
    <row r="26" spans="1:23" ht="21.75" customHeight="1">
      <c r="A26" s="160"/>
      <c r="B26" s="161"/>
      <c r="C26" s="121" t="s">
        <v>134</v>
      </c>
      <c r="D26" s="67" t="s">
        <v>96</v>
      </c>
      <c r="E26" s="67" t="s">
        <v>97</v>
      </c>
      <c r="F26" s="67" t="s">
        <v>98</v>
      </c>
      <c r="G26" s="67" t="s">
        <v>362</v>
      </c>
      <c r="H26" s="34" t="s">
        <v>191</v>
      </c>
      <c r="I26" s="34" t="s">
        <v>192</v>
      </c>
      <c r="J26" s="34" t="s">
        <v>193</v>
      </c>
      <c r="K26" s="34" t="s">
        <v>194</v>
      </c>
      <c r="L26" s="34" t="s">
        <v>195</v>
      </c>
      <c r="M26" s="34" t="s">
        <v>237</v>
      </c>
      <c r="N26" s="34" t="s">
        <v>363</v>
      </c>
      <c r="O26" s="34" t="s">
        <v>364</v>
      </c>
      <c r="P26" s="34" t="s">
        <v>365</v>
      </c>
      <c r="Q26" s="34" t="s">
        <v>366</v>
      </c>
      <c r="R26" s="150" t="e">
        <f t="shared" si="5"/>
        <v>#DIV/0!</v>
      </c>
      <c r="S26" s="151"/>
      <c r="T26" s="61">
        <f t="shared" si="6"/>
        <v>0</v>
      </c>
      <c r="U26" s="61">
        <f t="shared" si="2"/>
        <v>0</v>
      </c>
      <c r="V26" s="62" t="str">
        <f t="shared" si="3"/>
        <v/>
      </c>
      <c r="W26" s="28" t="s">
        <v>367</v>
      </c>
    </row>
    <row r="27" spans="1:23" ht="21.75" customHeight="1">
      <c r="A27" s="160"/>
      <c r="B27" s="161"/>
      <c r="C27" s="121" t="s">
        <v>135</v>
      </c>
      <c r="D27" s="67" t="s">
        <v>99</v>
      </c>
      <c r="E27" s="67" t="s">
        <v>100</v>
      </c>
      <c r="F27" s="67" t="s">
        <v>101</v>
      </c>
      <c r="G27" s="67" t="s">
        <v>136</v>
      </c>
      <c r="H27" s="34" t="s">
        <v>196</v>
      </c>
      <c r="I27" s="34" t="s">
        <v>197</v>
      </c>
      <c r="J27" s="34" t="s">
        <v>198</v>
      </c>
      <c r="K27" s="34" t="s">
        <v>199</v>
      </c>
      <c r="L27" s="34" t="s">
        <v>200</v>
      </c>
      <c r="M27" s="34" t="s">
        <v>238</v>
      </c>
      <c r="N27" s="34" t="s">
        <v>368</v>
      </c>
      <c r="O27" s="34" t="s">
        <v>369</v>
      </c>
      <c r="P27" s="34" t="s">
        <v>370</v>
      </c>
      <c r="Q27" s="34" t="s">
        <v>371</v>
      </c>
      <c r="R27" s="150" t="e">
        <f t="shared" si="5"/>
        <v>#DIV/0!</v>
      </c>
      <c r="S27" s="151"/>
      <c r="T27" s="61">
        <f t="shared" si="6"/>
        <v>0</v>
      </c>
      <c r="U27" s="61">
        <f t="shared" si="2"/>
        <v>0</v>
      </c>
      <c r="V27" s="62" t="str">
        <f>IF(SUM(H27:Q27)&gt;0,IF(OR(MIN(H27:Q27)&lt;G27,MAX(H27:Q27)&gt;F27),"NG","G"),"")</f>
        <v/>
      </c>
      <c r="W27" s="28" t="s">
        <v>137</v>
      </c>
    </row>
    <row r="28" spans="1:23" ht="21.75" customHeight="1">
      <c r="A28" s="160"/>
      <c r="B28" s="161"/>
      <c r="C28" s="121" t="s">
        <v>495</v>
      </c>
      <c r="D28" s="67" t="s">
        <v>496</v>
      </c>
      <c r="E28" s="67" t="s">
        <v>497</v>
      </c>
      <c r="F28" s="67" t="s">
        <v>498</v>
      </c>
      <c r="G28" s="67" t="s">
        <v>499</v>
      </c>
      <c r="H28" s="34" t="s">
        <v>568</v>
      </c>
      <c r="I28" s="34" t="s">
        <v>569</v>
      </c>
      <c r="J28" s="34" t="s">
        <v>570</v>
      </c>
      <c r="K28" s="34" t="s">
        <v>571</v>
      </c>
      <c r="L28" s="34" t="s">
        <v>572</v>
      </c>
      <c r="M28" s="34" t="s">
        <v>573</v>
      </c>
      <c r="N28" s="34" t="s">
        <v>574</v>
      </c>
      <c r="O28" s="34" t="s">
        <v>575</v>
      </c>
      <c r="P28" s="34" t="s">
        <v>576</v>
      </c>
      <c r="Q28" s="34" t="s">
        <v>577</v>
      </c>
      <c r="R28" s="150" t="e">
        <f t="shared" si="5"/>
        <v>#DIV/0!</v>
      </c>
      <c r="S28" s="151"/>
      <c r="T28" s="61">
        <f t="shared" si="6"/>
        <v>0</v>
      </c>
      <c r="U28" s="61">
        <f t="shared" si="2"/>
        <v>0</v>
      </c>
      <c r="V28" s="62" t="str">
        <f t="shared" si="3"/>
        <v/>
      </c>
      <c r="W28" s="28" t="s">
        <v>567</v>
      </c>
    </row>
    <row r="29" spans="1:23" ht="22.5" customHeight="1">
      <c r="A29" s="57"/>
      <c r="B29" s="162" t="s">
        <v>80</v>
      </c>
      <c r="C29" s="163" t="s">
        <v>206</v>
      </c>
      <c r="D29" s="164"/>
      <c r="E29" s="164"/>
      <c r="F29" s="164"/>
      <c r="G29" s="165"/>
      <c r="H29" s="123" t="s">
        <v>201</v>
      </c>
      <c r="I29" s="123" t="s">
        <v>202</v>
      </c>
      <c r="J29" s="123" t="s">
        <v>203</v>
      </c>
      <c r="K29" s="123" t="s">
        <v>204</v>
      </c>
      <c r="L29" s="123" t="s">
        <v>205</v>
      </c>
      <c r="M29" s="123" t="s">
        <v>239</v>
      </c>
      <c r="N29" s="123" t="s">
        <v>372</v>
      </c>
      <c r="O29" s="123" t="s">
        <v>373</v>
      </c>
      <c r="P29" s="123" t="s">
        <v>374</v>
      </c>
      <c r="Q29" s="123" t="s">
        <v>375</v>
      </c>
      <c r="R29" s="166"/>
      <c r="S29" s="167"/>
      <c r="T29" s="122"/>
      <c r="U29" s="122"/>
      <c r="V29" s="72" t="str">
        <f>IF(AND(H29="",I29="",J29="",K29="",L29="",M29="",N29="",O29="",P29="",Q29=""),"",IF(AND(H29="G",I29="G",J29="G",K29="G",L29="G",M29="G",N29="G",O29="G",P29="G",Q29="G"),"G","NG"))</f>
        <v>NG</v>
      </c>
      <c r="W29" s="74"/>
    </row>
    <row r="30" spans="1:23" ht="21" customHeight="1">
      <c r="A30" s="64"/>
      <c r="B30" s="162"/>
      <c r="C30" s="168" t="s">
        <v>212</v>
      </c>
      <c r="D30" s="169"/>
      <c r="E30" s="169"/>
      <c r="F30" s="169"/>
      <c r="G30" s="170"/>
      <c r="H30" s="123" t="s">
        <v>207</v>
      </c>
      <c r="I30" s="123" t="s">
        <v>208</v>
      </c>
      <c r="J30" s="123" t="s">
        <v>209</v>
      </c>
      <c r="K30" s="123" t="s">
        <v>210</v>
      </c>
      <c r="L30" s="123" t="s">
        <v>211</v>
      </c>
      <c r="M30" s="123" t="s">
        <v>240</v>
      </c>
      <c r="N30" s="123" t="s">
        <v>376</v>
      </c>
      <c r="O30" s="123" t="s">
        <v>377</v>
      </c>
      <c r="P30" s="123" t="s">
        <v>378</v>
      </c>
      <c r="Q30" s="123" t="s">
        <v>379</v>
      </c>
      <c r="R30" s="166"/>
      <c r="S30" s="167"/>
      <c r="T30" s="74"/>
      <c r="U30" s="74"/>
      <c r="V30" s="72" t="str">
        <f t="shared" ref="V30:V37" si="7">IF(AND(H30="",I30="",J30="",K30="",L30="",M30="",N30="",O30="",P30="",Q30=""),"",IF(AND(H30="G",I30="G",J30="G",K30="G",L30="G",M30="G",N30="G",O30="G",P30="G",Q30="G"),"G","NG"))</f>
        <v>NG</v>
      </c>
      <c r="W30" s="74"/>
    </row>
    <row r="31" spans="1:23" ht="22.5" customHeight="1">
      <c r="A31" s="64"/>
      <c r="B31" s="162"/>
      <c r="C31" s="168" t="s">
        <v>380</v>
      </c>
      <c r="D31" s="169"/>
      <c r="E31" s="169"/>
      <c r="F31" s="169"/>
      <c r="G31" s="170"/>
      <c r="H31" s="123" t="s">
        <v>213</v>
      </c>
      <c r="I31" s="123" t="s">
        <v>214</v>
      </c>
      <c r="J31" s="123" t="s">
        <v>215</v>
      </c>
      <c r="K31" s="123" t="s">
        <v>216</v>
      </c>
      <c r="L31" s="123" t="s">
        <v>217</v>
      </c>
      <c r="M31" s="123" t="s">
        <v>241</v>
      </c>
      <c r="N31" s="123" t="s">
        <v>381</v>
      </c>
      <c r="O31" s="123" t="s">
        <v>382</v>
      </c>
      <c r="P31" s="123" t="s">
        <v>383</v>
      </c>
      <c r="Q31" s="123" t="s">
        <v>384</v>
      </c>
      <c r="R31" s="166"/>
      <c r="S31" s="167"/>
      <c r="T31" s="74"/>
      <c r="U31" s="74"/>
      <c r="V31" s="72" t="str">
        <f t="shared" si="7"/>
        <v>NG</v>
      </c>
      <c r="W31" s="74"/>
    </row>
    <row r="32" spans="1:23" ht="22.5" customHeight="1">
      <c r="A32" s="64"/>
      <c r="B32" s="162"/>
      <c r="C32" s="163" t="s">
        <v>385</v>
      </c>
      <c r="D32" s="169"/>
      <c r="E32" s="169"/>
      <c r="F32" s="169"/>
      <c r="G32" s="170"/>
      <c r="H32" s="123" t="s">
        <v>386</v>
      </c>
      <c r="I32" s="123" t="s">
        <v>387</v>
      </c>
      <c r="J32" s="123" t="s">
        <v>388</v>
      </c>
      <c r="K32" s="123" t="s">
        <v>389</v>
      </c>
      <c r="L32" s="123" t="s">
        <v>390</v>
      </c>
      <c r="M32" s="123" t="s">
        <v>391</v>
      </c>
      <c r="N32" s="123" t="s">
        <v>392</v>
      </c>
      <c r="O32" s="123" t="s">
        <v>393</v>
      </c>
      <c r="P32" s="123" t="s">
        <v>394</v>
      </c>
      <c r="Q32" s="123" t="s">
        <v>395</v>
      </c>
      <c r="R32" s="166"/>
      <c r="S32" s="167"/>
      <c r="T32" s="75"/>
      <c r="U32" s="75"/>
      <c r="V32" s="72" t="str">
        <f t="shared" si="7"/>
        <v>NG</v>
      </c>
      <c r="W32" s="75"/>
    </row>
    <row r="33" spans="1:23" ht="22.5" customHeight="1">
      <c r="A33" s="64"/>
      <c r="B33" s="162"/>
      <c r="C33" s="163" t="s">
        <v>396</v>
      </c>
      <c r="D33" s="169"/>
      <c r="E33" s="169"/>
      <c r="F33" s="169"/>
      <c r="G33" s="170"/>
      <c r="H33" s="123" t="s">
        <v>397</v>
      </c>
      <c r="I33" s="123" t="s">
        <v>398</v>
      </c>
      <c r="J33" s="123" t="s">
        <v>399</v>
      </c>
      <c r="K33" s="123" t="s">
        <v>400</v>
      </c>
      <c r="L33" s="123" t="s">
        <v>401</v>
      </c>
      <c r="M33" s="123" t="s">
        <v>402</v>
      </c>
      <c r="N33" s="123" t="s">
        <v>403</v>
      </c>
      <c r="O33" s="123" t="s">
        <v>404</v>
      </c>
      <c r="P33" s="123" t="s">
        <v>405</v>
      </c>
      <c r="Q33" s="123" t="s">
        <v>406</v>
      </c>
      <c r="R33" s="166"/>
      <c r="S33" s="167"/>
      <c r="T33" s="75"/>
      <c r="U33" s="75"/>
      <c r="V33" s="72" t="str">
        <f t="shared" si="7"/>
        <v>NG</v>
      </c>
      <c r="W33" s="75"/>
    </row>
    <row r="34" spans="1:23" ht="22.5" customHeight="1">
      <c r="A34" s="64"/>
      <c r="B34" s="162"/>
      <c r="C34" s="163" t="s">
        <v>407</v>
      </c>
      <c r="D34" s="169"/>
      <c r="E34" s="169"/>
      <c r="F34" s="169"/>
      <c r="G34" s="170"/>
      <c r="H34" s="123" t="s">
        <v>408</v>
      </c>
      <c r="I34" s="123" t="s">
        <v>409</v>
      </c>
      <c r="J34" s="123" t="s">
        <v>410</v>
      </c>
      <c r="K34" s="123" t="s">
        <v>411</v>
      </c>
      <c r="L34" s="123" t="s">
        <v>412</v>
      </c>
      <c r="M34" s="123" t="s">
        <v>413</v>
      </c>
      <c r="N34" s="123" t="s">
        <v>414</v>
      </c>
      <c r="O34" s="123" t="s">
        <v>415</v>
      </c>
      <c r="P34" s="123" t="s">
        <v>416</v>
      </c>
      <c r="Q34" s="123" t="s">
        <v>417</v>
      </c>
      <c r="R34" s="166"/>
      <c r="S34" s="167"/>
      <c r="T34" s="76"/>
      <c r="U34" s="76"/>
      <c r="V34" s="72" t="str">
        <f t="shared" si="7"/>
        <v>NG</v>
      </c>
      <c r="W34" s="76"/>
    </row>
    <row r="35" spans="1:23" ht="22.5" customHeight="1">
      <c r="A35" s="64"/>
      <c r="B35" s="162"/>
      <c r="C35" s="163" t="s">
        <v>418</v>
      </c>
      <c r="D35" s="169"/>
      <c r="E35" s="169"/>
      <c r="F35" s="169"/>
      <c r="G35" s="170"/>
      <c r="H35" s="123" t="s">
        <v>419</v>
      </c>
      <c r="I35" s="123" t="s">
        <v>420</v>
      </c>
      <c r="J35" s="123" t="s">
        <v>421</v>
      </c>
      <c r="K35" s="123" t="s">
        <v>422</v>
      </c>
      <c r="L35" s="123" t="s">
        <v>423</v>
      </c>
      <c r="M35" s="123" t="s">
        <v>424</v>
      </c>
      <c r="N35" s="123" t="s">
        <v>425</v>
      </c>
      <c r="O35" s="123" t="s">
        <v>426</v>
      </c>
      <c r="P35" s="123" t="s">
        <v>427</v>
      </c>
      <c r="Q35" s="123" t="s">
        <v>428</v>
      </c>
      <c r="R35" s="166"/>
      <c r="S35" s="167"/>
      <c r="T35" s="75"/>
      <c r="U35" s="75"/>
      <c r="V35" s="72" t="str">
        <f t="shared" si="7"/>
        <v>NG</v>
      </c>
      <c r="W35" s="75"/>
    </row>
    <row r="36" spans="1:23" ht="22.5" customHeight="1">
      <c r="A36" s="64"/>
      <c r="B36" s="162"/>
      <c r="C36" s="163" t="s">
        <v>429</v>
      </c>
      <c r="D36" s="169"/>
      <c r="E36" s="169"/>
      <c r="F36" s="169"/>
      <c r="G36" s="170"/>
      <c r="H36" s="123" t="s">
        <v>430</v>
      </c>
      <c r="I36" s="123" t="s">
        <v>431</v>
      </c>
      <c r="J36" s="123" t="s">
        <v>432</v>
      </c>
      <c r="K36" s="123" t="s">
        <v>433</v>
      </c>
      <c r="L36" s="123" t="s">
        <v>434</v>
      </c>
      <c r="M36" s="123" t="s">
        <v>435</v>
      </c>
      <c r="N36" s="123" t="s">
        <v>436</v>
      </c>
      <c r="O36" s="123" t="s">
        <v>437</v>
      </c>
      <c r="P36" s="123" t="s">
        <v>438</v>
      </c>
      <c r="Q36" s="123" t="s">
        <v>439</v>
      </c>
      <c r="R36" s="166"/>
      <c r="S36" s="167"/>
      <c r="T36" s="75"/>
      <c r="U36" s="75"/>
      <c r="V36" s="72" t="str">
        <f t="shared" si="7"/>
        <v>NG</v>
      </c>
      <c r="W36" s="75"/>
    </row>
    <row r="37" spans="1:23" ht="22.5" customHeight="1">
      <c r="A37" s="64"/>
      <c r="B37" s="162"/>
      <c r="C37" s="163" t="s">
        <v>440</v>
      </c>
      <c r="D37" s="169"/>
      <c r="E37" s="169"/>
      <c r="F37" s="169"/>
      <c r="G37" s="170"/>
      <c r="H37" s="123" t="s">
        <v>441</v>
      </c>
      <c r="I37" s="123" t="s">
        <v>442</v>
      </c>
      <c r="J37" s="123" t="s">
        <v>443</v>
      </c>
      <c r="K37" s="123" t="s">
        <v>444</v>
      </c>
      <c r="L37" s="123" t="s">
        <v>445</v>
      </c>
      <c r="M37" s="123" t="s">
        <v>446</v>
      </c>
      <c r="N37" s="123" t="s">
        <v>447</v>
      </c>
      <c r="O37" s="123" t="s">
        <v>448</v>
      </c>
      <c r="P37" s="123" t="s">
        <v>449</v>
      </c>
      <c r="Q37" s="123" t="s">
        <v>450</v>
      </c>
      <c r="R37" s="166"/>
      <c r="S37" s="167"/>
      <c r="T37" s="75"/>
      <c r="U37" s="75"/>
      <c r="V37" s="72" t="str">
        <f t="shared" si="7"/>
        <v>NG</v>
      </c>
      <c r="W37" s="75"/>
    </row>
    <row r="38" spans="1:23" ht="22.5" customHeight="1">
      <c r="A38" s="77"/>
      <c r="B38" s="162"/>
      <c r="C38" s="163" t="s">
        <v>578</v>
      </c>
      <c r="D38" s="169"/>
      <c r="E38" s="169"/>
      <c r="F38" s="169"/>
      <c r="G38" s="170"/>
      <c r="H38" s="123" t="s">
        <v>579</v>
      </c>
      <c r="I38" s="123" t="s">
        <v>580</v>
      </c>
      <c r="J38" s="123" t="s">
        <v>581</v>
      </c>
      <c r="K38" s="123" t="s">
        <v>582</v>
      </c>
      <c r="L38" s="123" t="s">
        <v>583</v>
      </c>
      <c r="M38" s="123" t="s">
        <v>584</v>
      </c>
      <c r="N38" s="123" t="s">
        <v>585</v>
      </c>
      <c r="O38" s="123" t="s">
        <v>586</v>
      </c>
      <c r="P38" s="123" t="s">
        <v>587</v>
      </c>
      <c r="Q38" s="123" t="s">
        <v>588</v>
      </c>
      <c r="R38" s="166"/>
      <c r="S38" s="167"/>
      <c r="T38" s="75"/>
      <c r="U38" s="75"/>
      <c r="V38" s="72" t="str">
        <f>IF(AND(H38="",I38="",J38="",K38="",L38="",M38="",N38="",O38="",P38="",Q38=""),"",IF(AND(H38="G",I38="G",J38="G",K38="G",L38="G",M38="G",N38="G",O38="G",P38="G",Q38="G"),"G","NG"))</f>
        <v>NG</v>
      </c>
      <c r="W38" s="75"/>
    </row>
    <row r="39" spans="1:23" ht="17.25" customHeight="1" thickBot="1">
      <c r="A39" s="78"/>
      <c r="B39" s="79" t="s">
        <v>79</v>
      </c>
      <c r="C39" s="80"/>
      <c r="D39" s="81"/>
      <c r="E39" s="82"/>
      <c r="F39" s="82"/>
      <c r="G39" s="82"/>
      <c r="H39" s="83"/>
      <c r="I39" s="83"/>
      <c r="J39" s="83"/>
      <c r="K39" s="83"/>
      <c r="L39" s="83"/>
      <c r="M39" s="80"/>
      <c r="N39" s="80"/>
      <c r="O39" s="80"/>
      <c r="Q39" s="83"/>
      <c r="R39" s="83"/>
      <c r="T39" s="83"/>
      <c r="U39" s="83"/>
      <c r="V39" s="82"/>
      <c r="W39" s="84"/>
    </row>
    <row r="40" spans="1:23" ht="18.75" customHeight="1" thickBot="1">
      <c r="A40" s="85"/>
      <c r="C40" s="80"/>
      <c r="D40" s="81"/>
      <c r="E40" s="82"/>
      <c r="F40" s="82"/>
      <c r="G40" s="82"/>
      <c r="H40" s="83"/>
      <c r="I40" s="83"/>
      <c r="J40" s="83"/>
      <c r="K40" s="83"/>
      <c r="L40" s="83"/>
      <c r="M40" s="80"/>
      <c r="O40" s="171" t="s">
        <v>66</v>
      </c>
      <c r="P40" s="172"/>
      <c r="Q40" s="173"/>
      <c r="R40" s="174" t="s">
        <v>67</v>
      </c>
      <c r="S40" s="175"/>
      <c r="T40" s="175"/>
      <c r="U40" s="176"/>
      <c r="V40" s="86" t="s">
        <v>64</v>
      </c>
      <c r="W40" s="84"/>
    </row>
    <row r="41" spans="1:23" ht="18.75" customHeight="1">
      <c r="A41" s="85"/>
      <c r="C41" s="80"/>
      <c r="D41" s="81"/>
      <c r="E41" s="82"/>
      <c r="F41" s="82"/>
      <c r="G41" s="82"/>
      <c r="H41" s="83"/>
      <c r="I41" s="83"/>
      <c r="J41" s="83"/>
      <c r="K41" s="83"/>
      <c r="L41" s="83"/>
      <c r="M41" s="80"/>
      <c r="O41" s="177" t="s">
        <v>68</v>
      </c>
      <c r="P41" s="178"/>
      <c r="Q41" s="179"/>
      <c r="R41" s="180" t="s">
        <v>69</v>
      </c>
      <c r="S41" s="181"/>
      <c r="T41" s="181"/>
      <c r="U41" s="182"/>
      <c r="V41" s="87" t="s">
        <v>230</v>
      </c>
      <c r="W41" s="84"/>
    </row>
    <row r="42" spans="1:23" ht="18.75" customHeight="1">
      <c r="A42" s="85"/>
      <c r="C42" s="80"/>
      <c r="D42" s="81"/>
      <c r="E42" s="82"/>
      <c r="F42" s="82"/>
      <c r="G42" s="82"/>
      <c r="H42" s="83"/>
      <c r="I42" s="83"/>
      <c r="J42" s="83"/>
      <c r="K42" s="83"/>
      <c r="L42" s="83"/>
      <c r="M42" s="80"/>
      <c r="O42" s="183" t="s">
        <v>70</v>
      </c>
      <c r="P42" s="184"/>
      <c r="Q42" s="185"/>
      <c r="R42" s="186" t="s">
        <v>71</v>
      </c>
      <c r="S42" s="187"/>
      <c r="T42" s="187"/>
      <c r="U42" s="188"/>
      <c r="V42" s="87" t="s">
        <v>230</v>
      </c>
      <c r="W42" s="84"/>
    </row>
    <row r="43" spans="1:23" ht="18.75" customHeight="1">
      <c r="A43" s="85"/>
      <c r="C43" s="80"/>
      <c r="D43" s="81"/>
      <c r="E43" s="82"/>
      <c r="F43" s="82"/>
      <c r="G43" s="82"/>
      <c r="H43" s="83"/>
      <c r="I43" s="83"/>
      <c r="J43" s="83"/>
      <c r="K43" s="83"/>
      <c r="L43" s="83"/>
      <c r="M43" s="80"/>
      <c r="O43" s="189" t="s">
        <v>591</v>
      </c>
      <c r="P43" s="190"/>
      <c r="Q43" s="191"/>
      <c r="R43" s="186" t="s">
        <v>72</v>
      </c>
      <c r="S43" s="187"/>
      <c r="T43" s="187"/>
      <c r="U43" s="188"/>
      <c r="V43" s="87" t="s">
        <v>230</v>
      </c>
      <c r="W43" s="84"/>
    </row>
    <row r="44" spans="1:23" ht="18.75" customHeight="1">
      <c r="A44" s="85"/>
      <c r="C44" s="80"/>
      <c r="D44" s="81"/>
      <c r="E44" s="82"/>
      <c r="F44" s="82"/>
      <c r="G44" s="82"/>
      <c r="H44" s="83"/>
      <c r="I44" s="83"/>
      <c r="J44" s="83"/>
      <c r="K44" s="83"/>
      <c r="L44" s="83"/>
      <c r="M44" s="80"/>
      <c r="O44" s="192"/>
      <c r="P44" s="193"/>
      <c r="Q44" s="194"/>
      <c r="R44" s="186" t="s">
        <v>73</v>
      </c>
      <c r="S44" s="187"/>
      <c r="T44" s="187"/>
      <c r="U44" s="188"/>
      <c r="V44" s="87" t="s">
        <v>230</v>
      </c>
      <c r="W44" s="84"/>
    </row>
    <row r="45" spans="1:23" ht="18.75" customHeight="1" thickBot="1">
      <c r="A45" s="85"/>
      <c r="C45" s="80"/>
      <c r="D45" s="81"/>
      <c r="E45" s="82"/>
      <c r="F45" s="82"/>
      <c r="G45" s="82"/>
      <c r="H45" s="83"/>
      <c r="I45" s="83"/>
      <c r="J45" s="83"/>
      <c r="K45" s="83"/>
      <c r="L45" s="83"/>
      <c r="M45" s="80"/>
      <c r="O45" s="195"/>
      <c r="P45" s="196"/>
      <c r="Q45" s="197"/>
      <c r="R45" s="198" t="s">
        <v>74</v>
      </c>
      <c r="S45" s="199"/>
      <c r="T45" s="199"/>
      <c r="U45" s="200"/>
      <c r="V45" s="88" t="s">
        <v>230</v>
      </c>
      <c r="W45" s="84"/>
    </row>
    <row r="46" spans="1:23" ht="4.5" customHeight="1" thickBot="1">
      <c r="A46" s="85"/>
      <c r="C46" s="80"/>
      <c r="D46" s="81"/>
      <c r="E46" s="82"/>
      <c r="F46" s="82"/>
      <c r="G46" s="82"/>
      <c r="H46" s="83"/>
      <c r="I46" s="83"/>
      <c r="J46" s="83"/>
      <c r="K46" s="83"/>
      <c r="L46" s="83"/>
      <c r="M46" s="80"/>
      <c r="N46" s="80"/>
      <c r="O46" s="80"/>
      <c r="Q46" s="83"/>
      <c r="R46" s="83"/>
      <c r="T46" s="83"/>
      <c r="U46" s="83"/>
      <c r="V46" s="82"/>
      <c r="W46" s="84"/>
    </row>
    <row r="47" spans="1:23" ht="11.25" customHeight="1">
      <c r="A47" s="85"/>
      <c r="C47" s="80"/>
      <c r="D47" s="81"/>
      <c r="E47" s="82"/>
      <c r="F47" s="82"/>
      <c r="G47" s="82"/>
      <c r="H47" s="83"/>
      <c r="I47" s="83"/>
      <c r="J47" s="83"/>
      <c r="K47" s="83"/>
      <c r="L47" s="83"/>
      <c r="M47" s="80"/>
      <c r="N47" s="80"/>
      <c r="O47" s="201" t="s">
        <v>75</v>
      </c>
      <c r="P47" s="202"/>
      <c r="Q47" s="202"/>
      <c r="R47" s="89"/>
      <c r="S47" s="90"/>
      <c r="T47" s="91"/>
      <c r="U47" s="91"/>
      <c r="V47" s="146"/>
      <c r="W47" s="84"/>
    </row>
    <row r="48" spans="1:23" ht="18" customHeight="1">
      <c r="A48" s="85"/>
      <c r="C48" s="80"/>
      <c r="D48" s="81"/>
      <c r="E48" s="82"/>
      <c r="F48" s="82"/>
      <c r="G48" s="82"/>
      <c r="H48" s="83"/>
      <c r="I48" s="83"/>
      <c r="J48" s="83"/>
      <c r="K48" s="83"/>
      <c r="L48" s="83"/>
      <c r="M48" s="80"/>
      <c r="N48" s="80"/>
      <c r="O48" s="203"/>
      <c r="P48" s="204"/>
      <c r="Q48" s="205"/>
      <c r="R48" s="92"/>
      <c r="S48" s="145"/>
      <c r="T48" s="144"/>
      <c r="U48" s="144"/>
      <c r="V48" s="147"/>
      <c r="W48" s="84"/>
    </row>
    <row r="49" spans="1:24" ht="15.95" customHeight="1" thickBot="1">
      <c r="A49" s="85"/>
      <c r="C49" s="80"/>
      <c r="D49" s="81"/>
      <c r="E49" s="82"/>
      <c r="F49" s="82"/>
      <c r="G49" s="82"/>
      <c r="H49" s="83"/>
      <c r="I49" s="83"/>
      <c r="J49" s="83"/>
      <c r="K49" s="83"/>
      <c r="L49" s="83"/>
      <c r="M49" s="80"/>
      <c r="N49" s="80"/>
      <c r="O49" s="206"/>
      <c r="P49" s="207"/>
      <c r="Q49" s="207"/>
      <c r="R49" s="93"/>
      <c r="S49" s="94"/>
      <c r="T49" s="94"/>
      <c r="U49" s="148"/>
      <c r="V49" s="149"/>
      <c r="W49" s="84"/>
    </row>
    <row r="50" spans="1:24" ht="4.5" customHeight="1" thickBot="1">
      <c r="A50" s="95"/>
      <c r="B50" s="96"/>
      <c r="C50" s="97"/>
      <c r="D50" s="98"/>
      <c r="E50" s="99"/>
      <c r="F50" s="99"/>
      <c r="G50" s="99"/>
      <c r="H50" s="100"/>
      <c r="I50" s="100"/>
      <c r="J50" s="100"/>
      <c r="K50" s="100"/>
      <c r="L50" s="100"/>
      <c r="M50" s="97"/>
      <c r="N50" s="97"/>
      <c r="O50" s="97"/>
      <c r="P50" s="96"/>
      <c r="Q50" s="100"/>
      <c r="R50" s="100"/>
      <c r="S50" s="96"/>
      <c r="T50" s="100"/>
      <c r="U50" s="100"/>
      <c r="V50" s="99"/>
      <c r="W50" s="101"/>
    </row>
    <row r="51" spans="1:24" ht="3.75" customHeight="1" thickBot="1">
      <c r="A51" s="85"/>
      <c r="C51" s="80"/>
      <c r="D51" s="81"/>
      <c r="E51" s="82"/>
      <c r="F51" s="82"/>
      <c r="G51" s="82"/>
      <c r="H51" s="83"/>
      <c r="I51" s="83"/>
      <c r="J51" s="83"/>
      <c r="K51" s="83"/>
      <c r="L51" s="83"/>
      <c r="M51" s="80"/>
      <c r="N51" s="80"/>
      <c r="O51" s="80"/>
      <c r="Q51" s="83"/>
      <c r="R51" s="83"/>
      <c r="T51" s="83"/>
      <c r="U51" s="83"/>
      <c r="V51" s="82"/>
      <c r="W51" s="83"/>
    </row>
    <row r="52" spans="1:24" ht="15" customHeight="1">
      <c r="A52" s="102"/>
      <c r="B52" s="208" t="s">
        <v>13</v>
      </c>
      <c r="C52" s="209"/>
      <c r="D52" s="214" t="str">
        <f>IF(AND(V45="",V44="",V43="",V42="",V41="",V38="",V36="",V35="",V34="",V33="",V32="",V31="",V30="",V29="",V19="",V20="",V21="",V22="",V23="",V24="",V25="",V26="",V28="",V18="",V17="",V10="",V9=""),"",IF(OR(V45="NG",V44="NG",V43="NG",V42="NG",V41="NG",V38="NG",V36="NG",V35="NG",V34="NG",V33="NG",V32="NG",V31="NG",V30="NG",V29="NG",V19="NG",V18="NG",V17="NG",V10="NG",V9="NG"),"NG","G"))</f>
        <v>NG</v>
      </c>
      <c r="E52" s="215"/>
      <c r="F52" s="216"/>
      <c r="G52" s="223" t="s">
        <v>4</v>
      </c>
      <c r="H52" s="224"/>
      <c r="I52" s="225"/>
      <c r="J52" s="229" t="s">
        <v>589</v>
      </c>
      <c r="K52" s="230"/>
      <c r="L52" s="230"/>
      <c r="M52" s="230"/>
      <c r="N52" s="230"/>
      <c r="O52" s="233" t="s">
        <v>65</v>
      </c>
      <c r="P52" s="234"/>
      <c r="Q52" s="103" t="s">
        <v>592</v>
      </c>
      <c r="R52" s="104"/>
      <c r="S52" s="134" t="s">
        <v>593</v>
      </c>
      <c r="T52" s="127"/>
      <c r="U52" s="135" t="s">
        <v>594</v>
      </c>
      <c r="V52" s="136" t="s">
        <v>594</v>
      </c>
      <c r="W52" s="128"/>
      <c r="X52" s="80"/>
    </row>
    <row r="53" spans="1:24" ht="15" customHeight="1">
      <c r="A53" s="85"/>
      <c r="B53" s="210"/>
      <c r="C53" s="211"/>
      <c r="D53" s="217"/>
      <c r="E53" s="218"/>
      <c r="F53" s="219"/>
      <c r="G53" s="177"/>
      <c r="H53" s="178"/>
      <c r="I53" s="179"/>
      <c r="J53" s="231"/>
      <c r="K53" s="232"/>
      <c r="L53" s="232"/>
      <c r="M53" s="232"/>
      <c r="N53" s="232"/>
      <c r="O53" s="235"/>
      <c r="P53" s="236"/>
      <c r="Q53" s="105" t="s">
        <v>595</v>
      </c>
      <c r="R53" s="106"/>
      <c r="S53" s="126" t="s">
        <v>610</v>
      </c>
      <c r="T53" s="124"/>
      <c r="U53" s="132" t="s">
        <v>604</v>
      </c>
      <c r="V53" s="124" t="s">
        <v>605</v>
      </c>
      <c r="W53" s="129"/>
      <c r="X53" s="80"/>
    </row>
    <row r="54" spans="1:24" ht="15" customHeight="1">
      <c r="A54" s="85"/>
      <c r="B54" s="210"/>
      <c r="C54" s="211"/>
      <c r="D54" s="217"/>
      <c r="E54" s="218"/>
      <c r="F54" s="219"/>
      <c r="G54" s="177"/>
      <c r="H54" s="178"/>
      <c r="I54" s="179"/>
      <c r="J54" s="231"/>
      <c r="K54" s="232"/>
      <c r="L54" s="232"/>
      <c r="M54" s="232"/>
      <c r="N54" s="232"/>
      <c r="O54" s="235"/>
      <c r="P54" s="236"/>
      <c r="Q54" s="105" t="s">
        <v>596</v>
      </c>
      <c r="R54" s="106"/>
      <c r="S54" s="126" t="s">
        <v>597</v>
      </c>
      <c r="T54" s="124"/>
      <c r="U54" s="132" t="s">
        <v>606</v>
      </c>
      <c r="V54" s="124" t="s">
        <v>607</v>
      </c>
      <c r="W54" s="129"/>
      <c r="X54" s="80"/>
    </row>
    <row r="55" spans="1:24" ht="15" customHeight="1">
      <c r="A55" s="85"/>
      <c r="B55" s="210"/>
      <c r="C55" s="211"/>
      <c r="D55" s="217"/>
      <c r="E55" s="218"/>
      <c r="F55" s="219"/>
      <c r="G55" s="177"/>
      <c r="H55" s="178"/>
      <c r="I55" s="179"/>
      <c r="J55" s="239" t="str">
        <f>CONCATENATE("*",J52,"*")</f>
        <v>*#8#*</v>
      </c>
      <c r="K55" s="240"/>
      <c r="L55" s="240"/>
      <c r="M55" s="240"/>
      <c r="N55" s="240"/>
      <c r="O55" s="235"/>
      <c r="P55" s="236"/>
      <c r="Q55" s="105" t="s">
        <v>600</v>
      </c>
      <c r="R55" s="106"/>
      <c r="S55" s="124" t="s">
        <v>611</v>
      </c>
      <c r="T55" s="124"/>
      <c r="U55" s="132" t="s">
        <v>608</v>
      </c>
      <c r="V55" s="124" t="s">
        <v>609</v>
      </c>
      <c r="W55" s="129"/>
      <c r="X55" s="80"/>
    </row>
    <row r="56" spans="1:24" ht="15" customHeight="1">
      <c r="A56" s="85"/>
      <c r="B56" s="210"/>
      <c r="C56" s="211"/>
      <c r="D56" s="217"/>
      <c r="E56" s="218"/>
      <c r="F56" s="219"/>
      <c r="G56" s="177"/>
      <c r="H56" s="178"/>
      <c r="I56" s="179"/>
      <c r="J56" s="239"/>
      <c r="K56" s="240"/>
      <c r="L56" s="240"/>
      <c r="M56" s="240"/>
      <c r="N56" s="240"/>
      <c r="O56" s="235"/>
      <c r="P56" s="236"/>
      <c r="Q56" s="105" t="s">
        <v>601</v>
      </c>
      <c r="R56" s="106"/>
      <c r="S56" s="126" t="s">
        <v>602</v>
      </c>
      <c r="T56" s="124"/>
      <c r="U56" s="137"/>
      <c r="V56" s="138"/>
      <c r="W56" s="129"/>
      <c r="X56" s="80"/>
    </row>
    <row r="57" spans="1:24" ht="15" customHeight="1">
      <c r="A57" s="85"/>
      <c r="B57" s="210"/>
      <c r="C57" s="211"/>
      <c r="D57" s="217"/>
      <c r="E57" s="218"/>
      <c r="F57" s="219"/>
      <c r="G57" s="177"/>
      <c r="H57" s="178"/>
      <c r="I57" s="179"/>
      <c r="J57" s="239"/>
      <c r="K57" s="240"/>
      <c r="L57" s="240"/>
      <c r="M57" s="240"/>
      <c r="N57" s="240"/>
      <c r="O57" s="235"/>
      <c r="P57" s="236"/>
      <c r="Q57" s="105" t="s">
        <v>598</v>
      </c>
      <c r="R57" s="106"/>
      <c r="S57" s="126" t="s">
        <v>599</v>
      </c>
      <c r="T57" s="124"/>
      <c r="U57" s="132"/>
      <c r="V57" s="124"/>
      <c r="W57" s="129"/>
      <c r="X57" s="80"/>
    </row>
    <row r="58" spans="1:24" ht="15" customHeight="1" thickBot="1">
      <c r="A58" s="95"/>
      <c r="B58" s="212"/>
      <c r="C58" s="213"/>
      <c r="D58" s="220"/>
      <c r="E58" s="221"/>
      <c r="F58" s="222"/>
      <c r="G58" s="226"/>
      <c r="H58" s="227"/>
      <c r="I58" s="228"/>
      <c r="J58" s="241"/>
      <c r="K58" s="242"/>
      <c r="L58" s="242"/>
      <c r="M58" s="242"/>
      <c r="N58" s="242"/>
      <c r="O58" s="237"/>
      <c r="P58" s="238"/>
      <c r="Q58" s="107" t="s">
        <v>603</v>
      </c>
      <c r="R58" s="125"/>
      <c r="S58" s="139" t="s">
        <v>612</v>
      </c>
      <c r="T58" s="130"/>
      <c r="U58" s="133"/>
      <c r="V58" s="130"/>
      <c r="W58" s="131"/>
      <c r="X58" s="80"/>
    </row>
    <row r="59" spans="1:24" ht="6" customHeight="1">
      <c r="A59" s="85"/>
      <c r="B59" s="108"/>
      <c r="C59" s="108"/>
      <c r="D59" s="109"/>
      <c r="E59" s="109"/>
      <c r="F59" s="109"/>
      <c r="G59" s="109"/>
      <c r="H59" s="110"/>
      <c r="I59" s="110"/>
      <c r="J59" s="110"/>
      <c r="K59" s="110"/>
      <c r="L59" s="110"/>
      <c r="M59" s="110"/>
      <c r="N59" s="111"/>
      <c r="O59" s="111"/>
      <c r="P59" s="111"/>
      <c r="Q59" s="80"/>
      <c r="R59" s="80"/>
      <c r="S59" s="80"/>
      <c r="T59" s="80"/>
      <c r="U59" s="112"/>
      <c r="V59" s="113"/>
      <c r="W59" s="114"/>
      <c r="X59" s="80"/>
    </row>
    <row r="60" spans="1:24" ht="15.75">
      <c r="A60" s="85"/>
      <c r="B60" s="115" t="s">
        <v>76</v>
      </c>
      <c r="W60" s="116"/>
    </row>
    <row r="61" spans="1:24" ht="9.75" customHeight="1">
      <c r="A61" s="85"/>
      <c r="B61" s="117"/>
      <c r="W61" s="116"/>
    </row>
    <row r="62" spans="1:24" ht="9.75" customHeight="1">
      <c r="A62" s="85"/>
      <c r="B62" s="117"/>
      <c r="W62" s="116"/>
    </row>
    <row r="63" spans="1:24" ht="9.75" customHeight="1">
      <c r="A63" s="85"/>
      <c r="W63" s="116"/>
    </row>
    <row r="64" spans="1:24" ht="9.75" customHeight="1">
      <c r="A64" s="85"/>
      <c r="W64" s="116"/>
    </row>
    <row r="65" spans="1:23" ht="9.75" customHeight="1">
      <c r="A65" s="85"/>
      <c r="W65" s="116"/>
    </row>
    <row r="66" spans="1:23" ht="9.75" customHeight="1">
      <c r="A66" s="85"/>
      <c r="W66" s="116"/>
    </row>
    <row r="67" spans="1:23" ht="9.75" customHeight="1">
      <c r="A67" s="85"/>
      <c r="W67" s="116"/>
    </row>
    <row r="68" spans="1:23" ht="9.75" customHeight="1">
      <c r="A68" s="85"/>
      <c r="W68" s="116"/>
    </row>
    <row r="69" spans="1:23" ht="9.75" customHeight="1">
      <c r="A69" s="85"/>
      <c r="W69" s="116"/>
    </row>
    <row r="70" spans="1:23" ht="9.75" customHeight="1">
      <c r="A70" s="85"/>
      <c r="W70" s="116"/>
    </row>
    <row r="71" spans="1:23" ht="9.75" customHeight="1">
      <c r="A71" s="85"/>
      <c r="W71" s="116"/>
    </row>
    <row r="72" spans="1:23" ht="9.75" customHeight="1">
      <c r="A72" s="85"/>
      <c r="W72" s="116"/>
    </row>
    <row r="73" spans="1:23" ht="9.75" customHeight="1">
      <c r="A73" s="85"/>
      <c r="W73" s="116"/>
    </row>
    <row r="74" spans="1:23" ht="9.75" customHeight="1">
      <c r="A74" s="85"/>
      <c r="W74" s="116"/>
    </row>
    <row r="75" spans="1:23" ht="9.75" customHeight="1">
      <c r="A75" s="85"/>
      <c r="W75" s="116"/>
    </row>
    <row r="76" spans="1:23" ht="9.75" customHeight="1">
      <c r="A76" s="85"/>
      <c r="W76" s="116"/>
    </row>
    <row r="77" spans="1:23" ht="6.95" customHeight="1">
      <c r="A77" s="85"/>
      <c r="W77" s="116"/>
    </row>
    <row r="78" spans="1:23" ht="9.6" hidden="1" customHeight="1">
      <c r="A78" s="85"/>
      <c r="W78" s="116"/>
    </row>
    <row r="79" spans="1:23" ht="0.95" customHeight="1">
      <c r="A79" s="85"/>
      <c r="W79" s="116"/>
    </row>
    <row r="80" spans="1:23" ht="9.75" customHeight="1">
      <c r="A80" s="85"/>
      <c r="W80" s="116"/>
    </row>
    <row r="81" spans="1:23" ht="9.75" customHeight="1">
      <c r="A81" s="85"/>
      <c r="W81" s="116"/>
    </row>
    <row r="82" spans="1:23" ht="9.75" customHeight="1">
      <c r="A82" s="85"/>
      <c r="W82" s="116"/>
    </row>
    <row r="83" spans="1:23" ht="9.75" customHeight="1">
      <c r="A83" s="85"/>
      <c r="W83" s="116"/>
    </row>
    <row r="84" spans="1:23" ht="12.95" customHeight="1" thickBot="1">
      <c r="A84" s="95"/>
      <c r="B84" s="96"/>
      <c r="C84" s="96"/>
      <c r="D84" s="118"/>
      <c r="E84" s="118"/>
      <c r="F84" s="118"/>
      <c r="G84" s="118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118"/>
      <c r="W84" s="119"/>
    </row>
    <row r="85" spans="1:23" ht="15.75" customHeight="1">
      <c r="W85" s="120" t="s">
        <v>77</v>
      </c>
    </row>
  </sheetData>
  <mergeCells count="66">
    <mergeCell ref="B52:C58"/>
    <mergeCell ref="D52:F58"/>
    <mergeCell ref="G52:I58"/>
    <mergeCell ref="J52:N54"/>
    <mergeCell ref="O52:P58"/>
    <mergeCell ref="J55:N58"/>
    <mergeCell ref="O43:Q45"/>
    <mergeCell ref="R43:U43"/>
    <mergeCell ref="R44:U44"/>
    <mergeCell ref="R45:U45"/>
    <mergeCell ref="O47:Q49"/>
    <mergeCell ref="O40:Q40"/>
    <mergeCell ref="R40:U40"/>
    <mergeCell ref="O41:Q41"/>
    <mergeCell ref="R41:U41"/>
    <mergeCell ref="O42:Q42"/>
    <mergeCell ref="R42:U42"/>
    <mergeCell ref="R37:S37"/>
    <mergeCell ref="C38:G38"/>
    <mergeCell ref="R38:S38"/>
    <mergeCell ref="C36:G36"/>
    <mergeCell ref="R36:S36"/>
    <mergeCell ref="B29:B38"/>
    <mergeCell ref="C29:G29"/>
    <mergeCell ref="R29:S29"/>
    <mergeCell ref="C30:G30"/>
    <mergeCell ref="R30:S30"/>
    <mergeCell ref="C31:G31"/>
    <mergeCell ref="R31:S31"/>
    <mergeCell ref="C32:G32"/>
    <mergeCell ref="R32:S32"/>
    <mergeCell ref="C33:G33"/>
    <mergeCell ref="R33:S33"/>
    <mergeCell ref="C34:G34"/>
    <mergeCell ref="R34:S34"/>
    <mergeCell ref="C35:G35"/>
    <mergeCell ref="R35:S35"/>
    <mergeCell ref="C37:G37"/>
    <mergeCell ref="R14:S14"/>
    <mergeCell ref="R15:S15"/>
    <mergeCell ref="R16:S16"/>
    <mergeCell ref="R17:S17"/>
    <mergeCell ref="R18:S18"/>
    <mergeCell ref="A19:B28"/>
    <mergeCell ref="R19:S19"/>
    <mergeCell ref="R20:S20"/>
    <mergeCell ref="R21:S21"/>
    <mergeCell ref="R22:S22"/>
    <mergeCell ref="R28:S28"/>
    <mergeCell ref="R23:S23"/>
    <mergeCell ref="R24:S24"/>
    <mergeCell ref="R25:S25"/>
    <mergeCell ref="R26:S26"/>
    <mergeCell ref="R27:S27"/>
    <mergeCell ref="R13:S13"/>
    <mergeCell ref="A2:C2"/>
    <mergeCell ref="A3:C3"/>
    <mergeCell ref="A4:C4"/>
    <mergeCell ref="A5:C5"/>
    <mergeCell ref="A6:C6"/>
    <mergeCell ref="A8:C8"/>
    <mergeCell ref="R8:S8"/>
    <mergeCell ref="R9:S9"/>
    <mergeCell ref="R10:S10"/>
    <mergeCell ref="R11:S11"/>
    <mergeCell ref="R12:S12"/>
  </mergeCells>
  <conditionalFormatting sqref="U49 D4:G4 P4:P5 T4 D6 F6 H9:Q28">
    <cfRule type="cellIs" dxfId="12" priority="13" stopIfTrue="1" operator="notEqual">
      <formula>FALSE</formula>
    </cfRule>
  </conditionalFormatting>
  <conditionalFormatting sqref="D52:F58">
    <cfRule type="cellIs" dxfId="11" priority="11" stopIfTrue="1" operator="equal">
      <formula>"G"</formula>
    </cfRule>
    <cfRule type="cellIs" dxfId="10" priority="12" stopIfTrue="1" operator="equal">
      <formula>"NG"</formula>
    </cfRule>
  </conditionalFormatting>
  <conditionalFormatting sqref="H29:R38">
    <cfRule type="cellIs" dxfId="9" priority="10" stopIfTrue="1" operator="notEqual">
      <formula>FALSE</formula>
    </cfRule>
  </conditionalFormatting>
  <conditionalFormatting sqref="V9:V38">
    <cfRule type="cellIs" dxfId="8" priority="8" stopIfTrue="1" operator="equal">
      <formula>"NG"</formula>
    </cfRule>
    <cfRule type="cellIs" dxfId="7" priority="9" stopIfTrue="1" operator="equal">
      <formula>"G"</formula>
    </cfRule>
  </conditionalFormatting>
  <conditionalFormatting sqref="V41:V4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W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workbookViewId="0">
      <selection activeCell="H27" sqref="H27"/>
    </sheetView>
  </sheetViews>
  <sheetFormatPr defaultRowHeight="13.5"/>
  <sheetData>
    <row r="1" spans="1:1">
      <c r="A1" t="s">
        <v>614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2022-12-14T02:53:22Z</cp:lastPrinted>
  <dcterms:created xsi:type="dcterms:W3CDTF">2012-11-05T06:18:27Z</dcterms:created>
  <dcterms:modified xsi:type="dcterms:W3CDTF">2023-03-13T07:37:39Z</dcterms:modified>
</cp:coreProperties>
</file>